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000000000000005"/>
    <x:sheet xmlns:r="http://schemas.openxmlformats.org/officeDocument/2006/relationships" name="Sources" sheetId="2" r:id="R0000000000000006"/>
    <x:sheet xmlns:r="http://schemas.openxmlformats.org/officeDocument/2006/relationships" name="Assumptions" sheetId="3" r:id="R0000000000000007"/>
    <x:sheet xmlns:r="http://schemas.openxmlformats.org/officeDocument/2006/relationships" name="Historical Financials" sheetId="4" r:id="R0000000000000008"/>
    <x:sheet xmlns:r="http://schemas.openxmlformats.org/officeDocument/2006/relationships" name="Operating KPIs" sheetId="5" r:id="R0000000000000009"/>
    <x:sheet xmlns:r="http://schemas.openxmlformats.org/officeDocument/2006/relationships" name="Revenue Drivers" sheetId="6" r:id="R000000000000000a"/>
    <x:sheet xmlns:r="http://schemas.openxmlformats.org/officeDocument/2006/relationships" name="Expense Build" sheetId="7" r:id="R000000000000000b"/>
    <x:sheet xmlns:r="http://schemas.openxmlformats.org/officeDocument/2006/relationships" name="Forecast" sheetId="8" r:id="R000000000000000c"/>
    <x:sheet xmlns:r="http://schemas.openxmlformats.org/officeDocument/2006/relationships" name="Scenarios" sheetId="9" r:id="R000000000000000d"/>
    <x:sheet xmlns:r="http://schemas.openxmlformats.org/officeDocument/2006/relationships" name="Sensitivity" sheetId="10" r:id="R000000000000000e"/>
    <x:sheet xmlns:r="http://schemas.openxmlformats.org/officeDocument/2006/relationships" name="Strategic Analysis" sheetId="11" r:id="R000000000000000f"/>
    <x:sheet xmlns:r="http://schemas.openxmlformats.org/officeDocument/2006/relationships" name="Executive Dashboard" sheetId="12" r:id="R0000000000000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&quot;%&quot;"/>
    <x:numFmt numFmtId="201" formatCode="#,##0.0;(#,##0.0);–"/>
    <x:numFmt numFmtId="202" formatCode="0.0%"/>
    <x:numFmt numFmtId="203" formatCode="0.00"/>
    <x:numFmt numFmtId="204" formatCode="&quot;$&quot;#,##0;(&quot;$&quot;#,##0);–"/>
  </x:numFmts>
  <x:fonts count="9">
    <x:font>
      <x:sz val="11"/>
      <x:name val="Carlito"/>
    </x:font>
    <x:font>
      <x:b/>
      <x:sz val="15"/>
      <x:color rgb="FF172B45"/>
      <x:name val="Arial"/>
    </x:font>
    <x:font>
      <x:sz val="10"/>
      <x:color rgb="FF1D2733"/>
      <x:name val="Arial"/>
    </x:font>
    <x:font>
      <x:b/>
      <x:sz val="13"/>
      <x:color rgb="FF087E8B"/>
      <x:name val="Arial"/>
    </x:font>
    <x:font>
      <x:b/>
      <x:sz val="10"/>
      <x:color rgb="FFFFFFFF"/>
      <x:name val="Arial"/>
    </x:font>
    <x:font>
      <x:b/>
      <x:sz val="11"/>
      <x:color rgb="FF215DC6"/>
      <x:name val="Arial"/>
    </x:font>
    <x:font>
      <x:sz val="10"/>
      <x:color rgb="FF215DC6"/>
      <x:name val="Arial"/>
    </x:font>
    <x:font>
      <x:b/>
      <x:sz val="10"/>
      <x:color rgb="FF172B45"/>
      <x:name val="Arial"/>
    </x:font>
    <x:font>
      <x:b/>
      <x:sz val="10"/>
      <x:color rgb="FF1872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2B45"/>
      </x:patternFill>
    </x:fill>
    <x:fill>
      <x:patternFill patternType="solid">
        <x:fgColor rgb="FFF2F7FA"/>
      </x:patternFill>
    </x:fill>
    <x:fill>
      <x:patternFill patternType="solid">
        <x:fgColor rgb="FFE9F1F5"/>
      </x:patternFill>
    </x:fill>
  </x:fills>
  <x:borders count="3">
    <x:border/>
    <x:border>
      <x:bottom style="thin">
        <x:color rgb="FFC4D5E0"/>
      </x:bottom>
    </x:border>
    <x:border>
      <x:top style="thin">
        <x:color rgb="FF94B5C5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200" fontId="2" fillId="0" borderId="0" xfId="0" applyNumberFormat="1" applyFont="1" applyFill="1" applyBorder="1"/>
    <x:xf numFmtId="0" fontId="8" fillId="0" borderId="0" xfId="0" applyNumberFormat="1" applyFont="1" applyFill="1" applyBorder="1"/>
    <x:xf numFmtId="201" fontId="2" fillId="0" borderId="0" xfId="0" applyNumberFormat="1" applyFont="1" applyFill="1" applyBorder="1"/>
    <x:xf numFmtId="201" fontId="7" fillId="4" borderId="2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1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Relationship Type="http://schemas.openxmlformats.org/officeDocument/2006/relationships/worksheet" Target="/xl/worksheets/sheet2.xml" Id="R0000000000000006" /><Relationship Type="http://schemas.openxmlformats.org/officeDocument/2006/relationships/worksheet" Target="/xl/worksheets/sheet3.xml" Id="R0000000000000007" /><Relationship Type="http://schemas.openxmlformats.org/officeDocument/2006/relationships/worksheet" Target="/xl/worksheets/sheet4.xml" Id="R0000000000000008" /><Relationship Type="http://schemas.openxmlformats.org/officeDocument/2006/relationships/worksheet" Target="/xl/worksheets/sheet5.xml" Id="R0000000000000009" /><Relationship Type="http://schemas.openxmlformats.org/officeDocument/2006/relationships/worksheet" Target="/xl/worksheets/sheet6.xml" Id="R000000000000000a" /><Relationship Type="http://schemas.openxmlformats.org/officeDocument/2006/relationships/worksheet" Target="/xl/worksheets/sheet7.xml" Id="R000000000000000b" /><Relationship Type="http://schemas.openxmlformats.org/officeDocument/2006/relationships/worksheet" Target="/xl/worksheets/sheet8.xml" Id="R000000000000000c" /><Relationship Type="http://schemas.openxmlformats.org/officeDocument/2006/relationships/worksheet" Target="/xl/worksheets/sheet9.xml" Id="R000000000000000d" /><Relationship Type="http://schemas.openxmlformats.org/officeDocument/2006/relationships/worksheet" Target="/xl/worksheets/sheet10.xml" Id="R000000000000000e" /><Relationship Type="http://schemas.openxmlformats.org/officeDocument/2006/relationships/worksheet" Target="/xl/worksheets/sheet11.xml" Id="R000000000000000f" /><Relationship Type="http://schemas.openxmlformats.org/officeDocument/2006/relationships/worksheet" Target="/xl/worksheets/sheet12.xml" Id="R00000000000000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000000000000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Quarterly revenue: actual + selected case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 ($m)</c:v>
          </c:tx>
          <c:marker>
            <c:symbol val="none"/>
          </c:marker>
          <c:cat>
            <c:strRef>
              <c:f>'Executive Dashboard'!$Q$8:$Q$33</c:f>
              <c:strCache>
                <c:ptCount val="0"/>
              </c:strCache>
            </c:strRef>
          </c:cat>
          <c:val>
            <c:numRef>
              <c:f>'Executive Dashboard'!$R$8:$R$33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18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000000000000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00000000000000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17" hidden="0" customWidth="1"/>
    <x:col min="4" max="4" width="7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Robinhood Strategic Finance &amp; Operating Model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4" t="str">
        <x:v>What Drives Robinhood’s Next Phase of Profitable Growth?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>
      <x:c r="B7" s="3" t="str">
        <x:v>Independent portfolio analysis · public data through September 28, 2026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</x:row>
    <x:row r="8"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>
      <x:c r="B9" s="3" t="str">
        <x:v>Central question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>
      <x:c r="B10" s="3" t="str">
        <x:v>Which drivers turn customer scale, assets, and product breadth into operating profit?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>
      <x:c r="B13" s="3" t="str">
        <x:v>Historical actuals</x:v>
      </x:c>
      <x:c r="C13" s="3"/>
      <x:c r="D13" s="3" t="str">
        <x:v>2023 Q1–2026 Q2 · 14 quarters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>
      <x:c r="B14" s="3" t="str">
        <x:v>Forecast</x:v>
      </x:c>
      <x:c r="C14" s="3"/>
      <x:c r="D14" s="3" t="str">
        <x:v>2026 Q3–2029 Q2 · 12 quarters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>
      <x:c r="B15" s="3" t="str">
        <x:v>Q3 status</x:v>
      </x:c>
      <x:c r="C15" s="3"/>
      <x:c r="D15" s="3" t="str">
        <x:v>FORECAST / NOWCAST; July and August operating facts only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>
      <x:c r="B18" s="3" t="str">
        <x:v>Read first</x:v>
      </x:c>
      <x:c r="C18" s="3"/>
      <x:c r="D18" s="3" t="str">
        <x:v>Executive Dashboard → Strategic Analysis → Forecast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</x:row>
    <x:row r="20"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>
      <x:c r="B21" s="3" t="str">
        <x:v>The workbook opens in Base Case. Edit blue assumption cells on Assumptions.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>
      <x:c r="B22" s="3" t="str">
        <x:v>The Scenarios comparison is a build-time snapshot; rerun the pipeline to refresh it.</x:v>
      </x:c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>
      <x:c r="B25" s="3" t="str">
        <x:v>This is not affiliated with Robinhood Markets, Inc. Forecasts are analyst scenarios, not guidance.</x:v>
      </x:c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74" hidden="0" customWidth="1"/>
    <x:col min="4" max="4" width="16" hidden="0" customWidth="1"/>
    <x:col min="8" max="8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7" max="7" width="27" hidden="0" customWidth="1"/>
  </x:cols>
  <x:sheetData>
    <x:row r="2" ht="23" customHeight="1">
      <x:c r="B2" s="1" t="str">
        <x:v>Sources and model starting values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B4" s="6" t="str">
        <x:v>Primary evidence</x:v>
      </x:c>
      <x:c r="C4" s="6"/>
      <x:c r="D4" s="6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 t="str">
        <x:v>2026 Q2 10-Q</x:v>
      </x:c>
      <x:c r="C5" s="3" t="str">
        <x:v>https://www.sec.gov/Archives/edgar/data/1783879/000178387926000114/hood-20260630.htm</x:v>
      </x:c>
      <x:c r="D5" s="3" t="str">
        <x:v>REPORTED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 t="str">
        <x:v>2026 Q2 results</x:v>
      </x:c>
      <x:c r="C6" s="3" t="str">
        <x:v>https://investors.robinhood.com/news-releases/news-release-details/robinhood-reports-second-quarter-2026-results</x:v>
      </x:c>
      <x:c r="D6" s="3" t="str">
        <x:v>REPORTED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>
      <x:c r="B7" s="3" t="str">
        <x:v>2025 10-K/A</x:v>
      </x:c>
      <x:c r="C7" s="3" t="str">
        <x:v>https://www.sec.gov/Archives/edgar/data/1783879/000178387926000029/hood-20251231.htm</x:v>
      </x:c>
      <x:c r="D7" s="3" t="str">
        <x:v>REPORTED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</x:row>
    <x:row r="8">
      <x:c r="B8" s="3" t="str">
        <x:v>Historical registry</x:v>
      </x:c>
      <x:c r="C8" s="3" t="str">
        <x:v>data/source_registry.csv</x:v>
      </x:c>
      <x:c r="D8" s="3" t="str">
        <x:v>REPORTED / DERIVED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>
      <x:c r="B9" s="3" t="str">
        <x:v>Forecast assumptions</x:v>
      </x:c>
      <x:c r="C9" s="3" t="str">
        <x:v>data/forecast/forecast_assumptions.csv</x:v>
      </x:c>
      <x:c r="D9" s="3" t="str">
        <x:v>ASSUMPTION / REPORTED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 ht="24" customHeight="1">
      <x:c r="B12" s="6" t="str">
        <x:v>2026 Q2 model anchor</x:v>
      </x:c>
      <x:c r="C12" s="6"/>
      <x:c r="D12" s="6"/>
      <x:c r="E12" s="3"/>
      <x:c r="F12" s="3"/>
      <x:c r="G12" s="6" t="str">
        <x:v>Monthly observations — Q3 is not a financial actual</x:v>
      </x:c>
      <x:c r="H12" s="6"/>
      <x:c r="I12" s="6"/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>
      <x:c r="B13" s="3" t="str">
        <x:v>Funded customers (m)</x:v>
      </x:c>
      <x:c r="C13" s="3" t="n">
        <x:v>28.4</x:v>
      </x:c>
      <x:c r="D13" s="3" t="str">
        <x:v>2026 Q2 report / operating release</x:v>
      </x:c>
      <x:c r="E13" s="3"/>
      <x:c r="F13" s="3"/>
      <x:c r="G13" s="3"/>
      <x:c r="H13" s="3" t="str">
        <x:v>Jul 2026</x:v>
      </x:c>
      <x:c r="I13" s="3" t="str">
        <x:v>Aug 2026</x:v>
      </x:c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>
      <x:c r="B14" s="3" t="str">
        <x:v>Platform assets ($b)</x:v>
      </x:c>
      <x:c r="C14" s="3" t="n">
        <x:v>368.7</x:v>
      </x:c>
      <x:c r="D14" s="3" t="str">
        <x:v>2026 Q2 report / operating release</x:v>
      </x:c>
      <x:c r="E14" s="3"/>
      <x:c r="F14" s="3"/>
      <x:c r="G14" s="3" t="str">
        <x:v>Funded customers (m)</x:v>
      </x:c>
      <x:c r="H14" s="3" t="n">
        <x:v>28.5</x:v>
      </x:c>
      <x:c r="I14" s="3" t="n">
        <x:v>28.6</x:v>
      </x:c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>
      <x:c r="B15" s="3" t="str">
        <x:v>Gold subscribers (m)</x:v>
      </x:c>
      <x:c r="C15" s="3" t="n">
        <x:v>4.8</x:v>
      </x:c>
      <x:c r="D15" s="3" t="str">
        <x:v>2026 Q2 report / operating release</x:v>
      </x:c>
      <x:c r="E15" s="3"/>
      <x:c r="F15" s="3"/>
      <x:c r="G15" s="3" t="str">
        <x:v>Platform assets ($b)</x:v>
      </x:c>
      <x:c r="H15" s="3" t="n">
        <x:v>355</x:v>
      </x:c>
      <x:c r="I15" s="3" t="n">
        <x:v>383.7</x:v>
      </x:c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>
      <x:c r="B16" s="3" t="str">
        <x:v>Margin book ($b)</x:v>
      </x:c>
      <x:c r="C16" s="3" t="n">
        <x:v>21.6</x:v>
      </x:c>
      <x:c r="D16" s="3" t="str">
        <x:v>2026 Q2 report / operating release</x:v>
      </x:c>
      <x:c r="E16" s="3"/>
      <x:c r="F16" s="3"/>
      <x:c r="G16" s="3" t="str">
        <x:v>Net deposits ($b)</x:v>
      </x:c>
      <x:c r="H16" s="3" t="n">
        <x:v>5.6</x:v>
      </x:c>
      <x:c r="I16" s="3" t="n">
        <x:v>4</x:v>
      </x:c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>
      <x:c r="B17" s="3" t="str">
        <x:v>Cash/deposits ($b)</x:v>
      </x:c>
      <x:c r="C17" s="3" t="n">
        <x:v>18.7</x:v>
      </x:c>
      <x:c r="D17" s="3" t="str">
        <x:v>2026 Q2 report / operating release</x:v>
      </x:c>
      <x:c r="E17" s="3"/>
      <x:c r="F17" s="3"/>
      <x:c r="G17" s="3" t="str">
        <x:v>Options contracts (m)</x:v>
      </x:c>
      <x:c r="H17" s="3" t="n">
        <x:v>324.2</x:v>
      </x:c>
      <x:c r="I17" s="3" t="n">
        <x:v>292.5</x:v>
      </x:c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>
      <x:c r="B18" s="3" t="str">
        <x:v>Cash Sweep ($b)</x:v>
      </x:c>
      <x:c r="C18" s="3" t="n">
        <x:v>29.7</x:v>
      </x:c>
      <x:c r="D18" s="3" t="str">
        <x:v>2026 Q2 report / operating release</x:v>
      </x:c>
      <x:c r="E18" s="3"/>
      <x:c r="F18" s="3"/>
      <x:c r="G18" s="3" t="str">
        <x:v>Equity notional ($b)</x:v>
      </x:c>
      <x:c r="H18" s="3" t="n">
        <x:v>332.8</x:v>
      </x:c>
      <x:c r="I18" s="3" t="n">
        <x:v>335.4</x:v>
      </x:c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>
      <x:c r="B19" s="3" t="str">
        <x:v>Credit avg balance ($b)</x:v>
      </x:c>
      <x:c r="C19" s="3" t="n">
        <x:v>1.347</x:v>
      </x:c>
      <x:c r="D19" s="3" t="str">
        <x:v>2026 Q2 report / operating release</x:v>
      </x:c>
      <x:c r="E19" s="3"/>
      <x:c r="F19" s="3"/>
      <x:c r="G19" s="3" t="str">
        <x:v>Crypto App notional ($b)</x:v>
      </x:c>
      <x:c r="H19" s="3" t="n">
        <x:v>4.3</x:v>
      </x:c>
      <x:c r="I19" s="3" t="n">
        <x:v>7.4</x:v>
      </x:c>
      <x:c r="J19" s="3"/>
      <x:c r="K19" s="3"/>
      <x:c r="L19" s="3"/>
      <x:c r="M19" s="3"/>
      <x:c r="N19" s="3"/>
      <x:c r="O19" s="3"/>
      <x:c r="P19" s="3"/>
      <x:c r="Q19" s="3"/>
      <x:c r="R19" s="3"/>
      <x:c r="S19" s="3"/>
    </x:row>
    <x:row r="20">
      <x:c r="B20" s="3" t="str">
        <x:v>Options contracts (m)</x:v>
      </x:c>
      <x:c r="C20" s="3" t="n">
        <x:v>773.9</x:v>
      </x:c>
      <x:c r="D20" s="3" t="str">
        <x:v>2026 Q2 report / operating release</x:v>
      </x:c>
      <x:c r="E20" s="3"/>
      <x:c r="F20" s="3"/>
      <x:c r="G20" s="3" t="str">
        <x:v>Bitstamp notional ($b)</x:v>
      </x:c>
      <x:c r="H20" s="3" t="n">
        <x:v>6.6</x:v>
      </x:c>
      <x:c r="I20" s="3" t="n">
        <x:v>10.1</x:v>
      </x:c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>
      <x:c r="B21" s="3" t="str">
        <x:v>Equity notional ($b)</x:v>
      </x:c>
      <x:c r="C21" s="3" t="n">
        <x:v>955.8</x:v>
      </x:c>
      <x:c r="D21" s="3" t="str">
        <x:v>2026 Q2 report / operating release</x:v>
      </x:c>
      <x:c r="E21" s="3"/>
      <x:c r="F21" s="3"/>
      <x:c r="G21" s="3" t="str">
        <x:v>Event contracts (b)</x:v>
      </x:c>
      <x:c r="H21" s="3" t="n">
        <x:v>6.1</x:v>
      </x:c>
      <x:c r="I21" s="3" t="n">
        <x:v>4.7</x:v>
      </x:c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>
      <x:c r="B22" s="3" t="str">
        <x:v>Crypto notional ($b)</x:v>
      </x:c>
      <x:c r="C22" s="3" t="n">
        <x:v>40.4</x:v>
      </x:c>
      <x:c r="D22" s="3" t="str">
        <x:v>2026 Q2 report / operating release</x:v>
      </x:c>
      <x:c r="E22" s="3"/>
      <x:c r="F22" s="3"/>
      <x:c r="G22" s="3" t="str">
        <x:v>Margin book ($b)</x:v>
      </x:c>
      <x:c r="H22" s="3" t="n">
        <x:v>20.7</x:v>
      </x:c>
      <x:c r="I22" s="3" t="n">
        <x:v>21.5</x:v>
      </x:c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>
      <x:c r="B23" s="3" t="str">
        <x:v>Event contracts (b)</x:v>
      </x:c>
      <x:c r="C23" s="3" t="n">
        <x:v>13.6</x:v>
      </x:c>
      <x:c r="D23" s="3" t="str">
        <x:v>2026 Q2 report / operating release</x:v>
      </x:c>
      <x:c r="E23" s="3"/>
      <x:c r="F23" s="3"/>
      <x:c r="G23" s="3" t="str">
        <x:v>Cash/deposits ($b)</x:v>
      </x:c>
      <x:c r="H23" s="3" t="n">
        <x:v>19.5</x:v>
      </x:c>
      <x:c r="I23" s="3" t="n">
        <x:v>19.6</x:v>
      </x:c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>
      <x:c r="B24" s="3"/>
      <x:c r="C24" s="3"/>
      <x:c r="D24" s="3"/>
      <x:c r="E24" s="3"/>
      <x:c r="F24" s="3"/>
      <x:c r="G24" s="3" t="str">
        <x:v>Cash Sweep ($b)</x:v>
      </x:c>
      <x:c r="H24" s="3" t="n">
        <x:v>29.2</x:v>
      </x:c>
      <x:c r="I24" s="3" t="n">
        <x:v>31.2</x:v>
      </x:c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>
      <x:c r="B27" s="3"/>
      <x:c r="C27" s="3"/>
      <x:c r="D27" s="3"/>
      <x:c r="E27" s="3"/>
      <x:c r="F27" s="3"/>
      <x:c r="G27" s="3" t="str">
        <x:v>Stocks are month-end; flows sum across months. September is an assumption.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5" max="5" width="43" hidden="0" customWidth="1"/>
  </x:cols>
  <x:sheetData>
    <x:row r="2" ht="23" customHeight="1">
      <x:c r="B2" s="1" t="str">
        <x:v>Scenario assumptions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Case (1 Base / 2 Upside / 3 Downside)</x:v>
      </x:c>
      <x:c r="C4" s="3"/>
      <x:c r="D4" s="7" t="n">
        <x:v>1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 ht="24" customHeight="1">
      <x:c r="B6" s="6" t="str">
        <x:v>Driver</x:v>
      </x:c>
      <x:c r="C6" s="6" t="str">
        <x:v>Scenario</x:v>
      </x:c>
      <x:c r="D6" s="6" t="str">
        <x:v>Unit</x:v>
      </x:c>
      <x:c r="E6" s="6" t="str">
        <x:v>Source / basis</x:v>
      </x:c>
      <x:c r="F6" s="6"/>
      <x:c r="G6" s="6"/>
      <x:c r="H6" s="6" t="str">
        <x:v>2026Q3</x:v>
      </x:c>
      <x:c r="I6" s="6" t="str">
        <x:v>2026Q4</x:v>
      </x:c>
      <x:c r="J6" s="6" t="str">
        <x:v>2027Q1</x:v>
      </x:c>
      <x:c r="K6" s="6" t="str">
        <x:v>2027Q2</x:v>
      </x:c>
      <x:c r="L6" s="6" t="str">
        <x:v>2027Q3</x:v>
      </x:c>
      <x:c r="M6" s="6" t="str">
        <x:v>2027Q4</x:v>
      </x:c>
      <x:c r="N6" s="6" t="str">
        <x:v>2028Q1</x:v>
      </x:c>
      <x:c r="O6" s="6" t="str">
        <x:v>2028Q2</x:v>
      </x:c>
      <x:c r="P6" s="6" t="str">
        <x:v>2028Q3</x:v>
      </x:c>
      <x:c r="Q6" s="6" t="str">
        <x:v>2028Q4</x:v>
      </x:c>
      <x:c r="R6" s="6" t="str">
        <x:v>2029Q1</x:v>
      </x:c>
      <x:c r="S6" s="6" t="str">
        <x:v>2029Q2</x:v>
      </x:c>
    </x:row>
    <x:row r="7"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</x:row>
    <x:row r="8">
      <x:c r="B8" s="9" t="str">
        <x:v>acquired assets b</x:v>
      </x:c>
      <x:c r="C8" s="9" t="str">
        <x:v>ACTIVE</x:v>
      </x:c>
      <x:c r="D8" s="9" t="str">
        <x:v>USD billions</x:v>
      </x:c>
      <x:c r="E8" s="9" t="str">
        <x:v>Q2 2026 company disclosures and Phase 3 history</x:v>
      </x:c>
      <x:c r="F8" s="9"/>
      <x:c r="G8" s="9"/>
      <x:c r="H8" s="9" t="n">
        <x:f>CHOOSE($D$4,H9,H10,H11)</x:f>
        <x:v>0</x:v>
      </x:c>
      <x:c r="I8" s="9" t="n">
        <x:f>CHOOSE($D$4,I9,I10,I11)</x:f>
        <x:v>0</x:v>
      </x:c>
      <x:c r="J8" s="9" t="n">
        <x:f>CHOOSE($D$4,J9,J10,J11)</x:f>
        <x:v>0</x:v>
      </x:c>
      <x:c r="K8" s="9" t="n">
        <x:f>CHOOSE($D$4,K9,K10,K11)</x:f>
        <x:v>0</x:v>
      </x:c>
      <x:c r="L8" s="9" t="n">
        <x:f>CHOOSE($D$4,L9,L10,L11)</x:f>
        <x:v>0</x:v>
      </x:c>
      <x:c r="M8" s="9" t="n">
        <x:f>CHOOSE($D$4,M9,M10,M11)</x:f>
        <x:v>0</x:v>
      </x:c>
      <x:c r="N8" s="9" t="n">
        <x:f>CHOOSE($D$4,N9,N10,N11)</x:f>
        <x:v>0</x:v>
      </x:c>
      <x:c r="O8" s="9" t="n">
        <x:f>CHOOSE($D$4,O9,O10,O11)</x:f>
        <x:v>0</x:v>
      </x:c>
      <x:c r="P8" s="9" t="n">
        <x:f>CHOOSE($D$4,P9,P10,P11)</x:f>
        <x:v>0</x:v>
      </x:c>
      <x:c r="Q8" s="9" t="n">
        <x:f>CHOOSE($D$4,Q9,Q10,Q11)</x:f>
        <x:v>0</x:v>
      </x:c>
      <x:c r="R8" s="9" t="n">
        <x:f>CHOOSE($D$4,R9,R10,R11)</x:f>
        <x:v>0</x:v>
      </x:c>
      <x:c r="S8" s="9" t="n">
        <x:f>CHOOSE($D$4,S9,S10,S11)</x:f>
        <x:v>0</x:v>
      </x:c>
    </x:row>
    <x:row r="9">
      <x:c r="B9" s="3"/>
      <x:c r="C9" s="3" t="str">
        <x:v>Base</x:v>
      </x:c>
      <x:c r="D9" s="3"/>
      <x:c r="E9" s="3"/>
      <x:c r="F9" s="3"/>
      <x:c r="G9" s="3"/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</x:row>
    <x:row r="10">
      <x:c r="B10" s="3"/>
      <x:c r="C10" s="3" t="str">
        <x:v>Upside</x:v>
      </x:c>
      <x:c r="D10" s="3"/>
      <x:c r="E10" s="3"/>
      <x:c r="F10" s="3"/>
      <x:c r="G10" s="3"/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</x:row>
    <x:row r="11">
      <x:c r="B11" s="3"/>
      <x:c r="C11" s="3" t="str">
        <x:v>Downside</x:v>
      </x:c>
      <x:c r="D11" s="3"/>
      <x:c r="E11" s="3"/>
      <x:c r="F11" s="3"/>
      <x:c r="G11" s="3"/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</x:row>
    <x:row r="12">
      <x:c r="B12" s="9" t="str">
        <x:v>asset value change pct</x:v>
      </x:c>
      <x:c r="C12" s="9" t="str">
        <x:v>ACTIVE</x:v>
      </x:c>
      <x:c r="D12" s="9" t="str">
        <x:v>fraction</x:v>
      </x:c>
      <x:c r="E12" s="9" t="str">
        <x:v>Acquisition and Trump Account scope breaks prevent clean return inference</x:v>
      </x:c>
      <x:c r="F12" s="9"/>
      <x:c r="G12" s="9"/>
      <x:c r="H12" s="9" t="str">
        <x:f>CHOOSE($D$4,H13,H14,H15)</x:f>
      </x:c>
      <x:c r="I12" s="9" t="n">
        <x:f>CHOOSE($D$4,I13,I14,I15)</x:f>
        <x:v>0</x:v>
      </x:c>
      <x:c r="J12" s="9" t="n">
        <x:f>CHOOSE($D$4,J13,J14,J15)</x:f>
        <x:v>0</x:v>
      </x:c>
      <x:c r="K12" s="9" t="n">
        <x:f>CHOOSE($D$4,K13,K14,K15)</x:f>
        <x:v>0</x:v>
      </x:c>
      <x:c r="L12" s="9" t="n">
        <x:f>CHOOSE($D$4,L13,L14,L15)</x:f>
        <x:v>0</x:v>
      </x:c>
      <x:c r="M12" s="9" t="n">
        <x:f>CHOOSE($D$4,M13,M14,M15)</x:f>
        <x:v>0</x:v>
      </x:c>
      <x:c r="N12" s="9" t="n">
        <x:f>CHOOSE($D$4,N13,N14,N15)</x:f>
        <x:v>0</x:v>
      </x:c>
      <x:c r="O12" s="9" t="n">
        <x:f>CHOOSE($D$4,O13,O14,O15)</x:f>
        <x:v>0</x:v>
      </x:c>
      <x:c r="P12" s="9" t="n">
        <x:f>CHOOSE($D$4,P13,P14,P15)</x:f>
        <x:v>0</x:v>
      </x:c>
      <x:c r="Q12" s="9" t="n">
        <x:f>CHOOSE($D$4,Q13,Q14,Q15)</x:f>
        <x:v>0</x:v>
      </x:c>
      <x:c r="R12" s="9" t="n">
        <x:f>CHOOSE($D$4,R13,R14,R15)</x:f>
        <x:v>0</x:v>
      </x:c>
      <x:c r="S12" s="9" t="n">
        <x:f>CHOOSE($D$4,S13,S14,S15)</x:f>
        <x:v>0</x:v>
      </x:c>
    </x:row>
    <x:row r="13">
      <x:c r="B13" s="3"/>
      <x:c r="C13" s="3" t="str">
        <x:v>Base</x:v>
      </x:c>
      <x:c r="D13" s="3"/>
      <x:c r="E13" s="3"/>
      <x:c r="F13" s="3"/>
      <x:c r="G13" s="3"/>
      <x:c r="H13" s="8"/>
      <x:c r="I13" s="8" t="n">
        <x:v>0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</x:row>
    <x:row r="14">
      <x:c r="B14" s="3"/>
      <x:c r="C14" s="3" t="str">
        <x:v>Upside</x:v>
      </x:c>
      <x:c r="D14" s="3"/>
      <x:c r="E14" s="3"/>
      <x:c r="F14" s="3"/>
      <x:c r="G14" s="3"/>
      <x:c r="H14" s="8"/>
      <x:c r="I14" s="8" t="n">
        <x:v>0.01</x:v>
      </x:c>
      <x:c r="J14" s="8" t="n">
        <x:v>0.01</x:v>
      </x:c>
      <x:c r="K14" s="8" t="n">
        <x:v>0.01</x:v>
      </x:c>
      <x:c r="L14" s="8" t="n">
        <x:v>0.01</x:v>
      </x:c>
      <x:c r="M14" s="8" t="n">
        <x:v>0.01</x:v>
      </x:c>
      <x:c r="N14" s="8" t="n">
        <x:v>0.01</x:v>
      </x:c>
      <x:c r="O14" s="8" t="n">
        <x:v>0.01</x:v>
      </x:c>
      <x:c r="P14" s="8" t="n">
        <x:v>0.01</x:v>
      </x:c>
      <x:c r="Q14" s="8" t="n">
        <x:v>0.01</x:v>
      </x:c>
      <x:c r="R14" s="8" t="n">
        <x:v>0.01</x:v>
      </x:c>
      <x:c r="S14" s="8" t="n">
        <x:v>0.01</x:v>
      </x:c>
    </x:row>
    <x:row r="15">
      <x:c r="B15" s="3"/>
      <x:c r="C15" s="3" t="str">
        <x:v>Downside</x:v>
      </x:c>
      <x:c r="D15" s="3"/>
      <x:c r="E15" s="3"/>
      <x:c r="F15" s="3"/>
      <x:c r="G15" s="3"/>
      <x:c r="H15" s="8"/>
      <x:c r="I15" s="8" t="n">
        <x:v>-0.01</x:v>
      </x:c>
      <x:c r="J15" s="8" t="n">
        <x:v>-0.01</x:v>
      </x:c>
      <x:c r="K15" s="8" t="n">
        <x:v>-0.01</x:v>
      </x:c>
      <x:c r="L15" s="8" t="n">
        <x:v>-0.01</x:v>
      </x:c>
      <x:c r="M15" s="8" t="n">
        <x:v>-0.01</x:v>
      </x:c>
      <x:c r="N15" s="8" t="n">
        <x:v>-0.01</x:v>
      </x:c>
      <x:c r="O15" s="8" t="n">
        <x:v>-0.01</x:v>
      </x:c>
      <x:c r="P15" s="8" t="n">
        <x:v>-0.01</x:v>
      </x:c>
      <x:c r="Q15" s="8" t="n">
        <x:v>-0.01</x:v>
      </x:c>
      <x:c r="R15" s="8" t="n">
        <x:v>-0.01</x:v>
      </x:c>
      <x:c r="S15" s="8" t="n">
        <x:v>-0.01</x:v>
      </x:c>
    </x:row>
    <x:row r="16">
      <x:c r="B16" s="9" t="str">
        <x:v>brokerage crypto weight</x:v>
      </x:c>
      <x:c r="C16" s="9" t="str">
        <x:v>ACTIVE</x:v>
      </x:c>
      <x:c r="D16" s="9" t="str">
        <x:v>fraction</x:v>
      </x:c>
      <x:c r="E16" s="9" t="str">
        <x:v>2026Q2 reported product volume, expense category not product-disaggregated</x:v>
      </x:c>
      <x:c r="F16" s="9"/>
      <x:c r="G16" s="9"/>
      <x:c r="H16" s="9" t="n">
        <x:f>CHOOSE($D$4,H17,H18,H19)</x:f>
        <x:v>0.2</x:v>
      </x:c>
      <x:c r="I16" s="9" t="n">
        <x:f>CHOOSE($D$4,I17,I18,I19)</x:f>
        <x:v>0.2</x:v>
      </x:c>
      <x:c r="J16" s="9" t="n">
        <x:f>CHOOSE($D$4,J17,J18,J19)</x:f>
        <x:v>0.2</x:v>
      </x:c>
      <x:c r="K16" s="9" t="n">
        <x:f>CHOOSE($D$4,K17,K18,K19)</x:f>
        <x:v>0.2</x:v>
      </x:c>
      <x:c r="L16" s="9" t="n">
        <x:f>CHOOSE($D$4,L17,L18,L19)</x:f>
        <x:v>0.2</x:v>
      </x:c>
      <x:c r="M16" s="9" t="n">
        <x:f>CHOOSE($D$4,M17,M18,M19)</x:f>
        <x:v>0.2</x:v>
      </x:c>
      <x:c r="N16" s="9" t="n">
        <x:f>CHOOSE($D$4,N17,N18,N19)</x:f>
        <x:v>0.2</x:v>
      </x:c>
      <x:c r="O16" s="9" t="n">
        <x:f>CHOOSE($D$4,O17,O18,O19)</x:f>
        <x:v>0.2</x:v>
      </x:c>
      <x:c r="P16" s="9" t="n">
        <x:f>CHOOSE($D$4,P17,P18,P19)</x:f>
        <x:v>0.2</x:v>
      </x:c>
      <x:c r="Q16" s="9" t="n">
        <x:f>CHOOSE($D$4,Q17,Q18,Q19)</x:f>
        <x:v>0.2</x:v>
      </x:c>
      <x:c r="R16" s="9" t="n">
        <x:f>CHOOSE($D$4,R17,R18,R19)</x:f>
        <x:v>0.2</x:v>
      </x:c>
      <x:c r="S16" s="9" t="n">
        <x:f>CHOOSE($D$4,S17,S18,S19)</x:f>
        <x:v>0.2</x:v>
      </x:c>
    </x:row>
    <x:row r="17">
      <x:c r="B17" s="3"/>
      <x:c r="C17" s="3" t="str">
        <x:v>Base</x:v>
      </x:c>
      <x:c r="D17" s="3"/>
      <x:c r="E17" s="3"/>
      <x:c r="F17" s="3"/>
      <x:c r="G17" s="3"/>
      <x:c r="H17" s="8" t="n">
        <x:v>0.2</x:v>
      </x:c>
      <x:c r="I17" s="8" t="n">
        <x:v>0.2</x:v>
      </x:c>
      <x:c r="J17" s="8" t="n">
        <x:v>0.2</x:v>
      </x:c>
      <x:c r="K17" s="8" t="n">
        <x:v>0.2</x:v>
      </x:c>
      <x:c r="L17" s="8" t="n">
        <x:v>0.2</x:v>
      </x:c>
      <x:c r="M17" s="8" t="n">
        <x:v>0.2</x:v>
      </x:c>
      <x:c r="N17" s="8" t="n">
        <x:v>0.2</x:v>
      </x:c>
      <x:c r="O17" s="8" t="n">
        <x:v>0.2</x:v>
      </x:c>
      <x:c r="P17" s="8" t="n">
        <x:v>0.2</x:v>
      </x:c>
      <x:c r="Q17" s="8" t="n">
        <x:v>0.2</x:v>
      </x:c>
      <x:c r="R17" s="8" t="n">
        <x:v>0.2</x:v>
      </x:c>
      <x:c r="S17" s="8" t="n">
        <x:v>0.2</x:v>
      </x:c>
    </x:row>
    <x:row r="18">
      <x:c r="B18" s="3"/>
      <x:c r="C18" s="3" t="str">
        <x:v>Upside</x:v>
      </x:c>
      <x:c r="D18" s="3"/>
      <x:c r="E18" s="3"/>
      <x:c r="F18" s="3"/>
      <x:c r="G18" s="3"/>
      <x:c r="H18" s="8" t="n">
        <x:v>0.2</x:v>
      </x:c>
      <x:c r="I18" s="8" t="n">
        <x:v>0.2</x:v>
      </x:c>
      <x:c r="J18" s="8" t="n">
        <x:v>0.2</x:v>
      </x:c>
      <x:c r="K18" s="8" t="n">
        <x:v>0.2</x:v>
      </x:c>
      <x:c r="L18" s="8" t="n">
        <x:v>0.2</x:v>
      </x:c>
      <x:c r="M18" s="8" t="n">
        <x:v>0.2</x:v>
      </x:c>
      <x:c r="N18" s="8" t="n">
        <x:v>0.2</x:v>
      </x:c>
      <x:c r="O18" s="8" t="n">
        <x:v>0.2</x:v>
      </x:c>
      <x:c r="P18" s="8" t="n">
        <x:v>0.2</x:v>
      </x:c>
      <x:c r="Q18" s="8" t="n">
        <x:v>0.2</x:v>
      </x:c>
      <x:c r="R18" s="8" t="n">
        <x:v>0.2</x:v>
      </x:c>
      <x:c r="S18" s="8" t="n">
        <x:v>0.2</x:v>
      </x:c>
    </x:row>
    <x:row r="19">
      <x:c r="B19" s="3"/>
      <x:c r="C19" s="3" t="str">
        <x:v>Downside</x:v>
      </x:c>
      <x:c r="D19" s="3"/>
      <x:c r="E19" s="3"/>
      <x:c r="F19" s="3"/>
      <x:c r="G19" s="3"/>
      <x:c r="H19" s="8" t="n">
        <x:v>0.2</x:v>
      </x:c>
      <x:c r="I19" s="8" t="n">
        <x:v>0.2</x:v>
      </x:c>
      <x:c r="J19" s="8" t="n">
        <x:v>0.2</x:v>
      </x:c>
      <x:c r="K19" s="8" t="n">
        <x:v>0.2</x:v>
      </x:c>
      <x:c r="L19" s="8" t="n">
        <x:v>0.2</x:v>
      </x:c>
      <x:c r="M19" s="8" t="n">
        <x:v>0.2</x:v>
      </x:c>
      <x:c r="N19" s="8" t="n">
        <x:v>0.2</x:v>
      </x:c>
      <x:c r="O19" s="8" t="n">
        <x:v>0.2</x:v>
      </x:c>
      <x:c r="P19" s="8" t="n">
        <x:v>0.2</x:v>
      </x:c>
      <x:c r="Q19" s="8" t="n">
        <x:v>0.2</x:v>
      </x:c>
      <x:c r="R19" s="8" t="n">
        <x:v>0.2</x:v>
      </x:c>
      <x:c r="S19" s="8" t="n">
        <x:v>0.2</x:v>
      </x:c>
    </x:row>
    <x:row r="20">
      <x:c r="B20" s="9" t="str">
        <x:v>brokerage equity weight</x:v>
      </x:c>
      <x:c r="C20" s="9" t="str">
        <x:v>ACTIVE</x:v>
      </x:c>
      <x:c r="D20" s="9" t="str">
        <x:v>fraction</x:v>
      </x:c>
      <x:c r="E20" s="9" t="str">
        <x:v>2026Q2 reported product volume, expense category not product-disaggregated</x:v>
      </x:c>
      <x:c r="F20" s="9"/>
      <x:c r="G20" s="9"/>
      <x:c r="H20" s="9" t="n">
        <x:f>CHOOSE($D$4,H21,H22,H23)</x:f>
        <x:v>0.25</x:v>
      </x:c>
      <x:c r="I20" s="9" t="n">
        <x:f>CHOOSE($D$4,I21,I22,I23)</x:f>
        <x:v>0.25</x:v>
      </x:c>
      <x:c r="J20" s="9" t="n">
        <x:f>CHOOSE($D$4,J21,J22,J23)</x:f>
        <x:v>0.25</x:v>
      </x:c>
      <x:c r="K20" s="9" t="n">
        <x:f>CHOOSE($D$4,K21,K22,K23)</x:f>
        <x:v>0.25</x:v>
      </x:c>
      <x:c r="L20" s="9" t="n">
        <x:f>CHOOSE($D$4,L21,L22,L23)</x:f>
        <x:v>0.25</x:v>
      </x:c>
      <x:c r="M20" s="9" t="n">
        <x:f>CHOOSE($D$4,M21,M22,M23)</x:f>
        <x:v>0.25</x:v>
      </x:c>
      <x:c r="N20" s="9" t="n">
        <x:f>CHOOSE($D$4,N21,N22,N23)</x:f>
        <x:v>0.25</x:v>
      </x:c>
      <x:c r="O20" s="9" t="n">
        <x:f>CHOOSE($D$4,O21,O22,O23)</x:f>
        <x:v>0.25</x:v>
      </x:c>
      <x:c r="P20" s="9" t="n">
        <x:f>CHOOSE($D$4,P21,P22,P23)</x:f>
        <x:v>0.25</x:v>
      </x:c>
      <x:c r="Q20" s="9" t="n">
        <x:f>CHOOSE($D$4,Q21,Q22,Q23)</x:f>
        <x:v>0.25</x:v>
      </x:c>
      <x:c r="R20" s="9" t="n">
        <x:f>CHOOSE($D$4,R21,R22,R23)</x:f>
        <x:v>0.25</x:v>
      </x:c>
      <x:c r="S20" s="9" t="n">
        <x:f>CHOOSE($D$4,S21,S22,S23)</x:f>
        <x:v>0.25</x:v>
      </x:c>
    </x:row>
    <x:row r="21">
      <x:c r="B21" s="3"/>
      <x:c r="C21" s="3" t="str">
        <x:v>Base</x:v>
      </x:c>
      <x:c r="D21" s="3"/>
      <x:c r="E21" s="3"/>
      <x:c r="F21" s="3"/>
      <x:c r="G21" s="3"/>
      <x:c r="H21" s="8" t="n">
        <x:v>0.25</x:v>
      </x:c>
      <x:c r="I21" s="8" t="n">
        <x:v>0.25</x:v>
      </x:c>
      <x:c r="J21" s="8" t="n">
        <x:v>0.25</x:v>
      </x:c>
      <x:c r="K21" s="8" t="n">
        <x:v>0.25</x:v>
      </x:c>
      <x:c r="L21" s="8" t="n">
        <x:v>0.25</x:v>
      </x:c>
      <x:c r="M21" s="8" t="n">
        <x:v>0.25</x:v>
      </x:c>
      <x:c r="N21" s="8" t="n">
        <x:v>0.25</x:v>
      </x:c>
      <x:c r="O21" s="8" t="n">
        <x:v>0.25</x:v>
      </x:c>
      <x:c r="P21" s="8" t="n">
        <x:v>0.25</x:v>
      </x:c>
      <x:c r="Q21" s="8" t="n">
        <x:v>0.25</x:v>
      </x:c>
      <x:c r="R21" s="8" t="n">
        <x:v>0.25</x:v>
      </x:c>
      <x:c r="S21" s="8" t="n">
        <x:v>0.25</x:v>
      </x:c>
    </x:row>
    <x:row r="22">
      <x:c r="B22" s="3"/>
      <x:c r="C22" s="3" t="str">
        <x:v>Upside</x:v>
      </x:c>
      <x:c r="D22" s="3"/>
      <x:c r="E22" s="3"/>
      <x:c r="F22" s="3"/>
      <x:c r="G22" s="3"/>
      <x:c r="H22" s="8" t="n">
        <x:v>0.25</x:v>
      </x:c>
      <x:c r="I22" s="8" t="n">
        <x:v>0.25</x:v>
      </x:c>
      <x:c r="J22" s="8" t="n">
        <x:v>0.25</x:v>
      </x:c>
      <x:c r="K22" s="8" t="n">
        <x:v>0.25</x:v>
      </x:c>
      <x:c r="L22" s="8" t="n">
        <x:v>0.25</x:v>
      </x:c>
      <x:c r="M22" s="8" t="n">
        <x:v>0.25</x:v>
      </x:c>
      <x:c r="N22" s="8" t="n">
        <x:v>0.25</x:v>
      </x:c>
      <x:c r="O22" s="8" t="n">
        <x:v>0.25</x:v>
      </x:c>
      <x:c r="P22" s="8" t="n">
        <x:v>0.25</x:v>
      </x:c>
      <x:c r="Q22" s="8" t="n">
        <x:v>0.25</x:v>
      </x:c>
      <x:c r="R22" s="8" t="n">
        <x:v>0.25</x:v>
      </x:c>
      <x:c r="S22" s="8" t="n">
        <x:v>0.25</x:v>
      </x:c>
    </x:row>
    <x:row r="23">
      <x:c r="B23" s="3"/>
      <x:c r="C23" s="3" t="str">
        <x:v>Downside</x:v>
      </x:c>
      <x:c r="D23" s="3"/>
      <x:c r="E23" s="3"/>
      <x:c r="F23" s="3"/>
      <x:c r="G23" s="3"/>
      <x:c r="H23" s="8" t="n">
        <x:v>0.25</x:v>
      </x:c>
      <x:c r="I23" s="8" t="n">
        <x:v>0.25</x:v>
      </x:c>
      <x:c r="J23" s="8" t="n">
        <x:v>0.25</x:v>
      </x:c>
      <x:c r="K23" s="8" t="n">
        <x:v>0.25</x:v>
      </x:c>
      <x:c r="L23" s="8" t="n">
        <x:v>0.25</x:v>
      </x:c>
      <x:c r="M23" s="8" t="n">
        <x:v>0.25</x:v>
      </x:c>
      <x:c r="N23" s="8" t="n">
        <x:v>0.25</x:v>
      </x:c>
      <x:c r="O23" s="8" t="n">
        <x:v>0.25</x:v>
      </x:c>
      <x:c r="P23" s="8" t="n">
        <x:v>0.25</x:v>
      </x:c>
      <x:c r="Q23" s="8" t="n">
        <x:v>0.25</x:v>
      </x:c>
      <x:c r="R23" s="8" t="n">
        <x:v>0.25</x:v>
      </x:c>
      <x:c r="S23" s="8" t="n">
        <x:v>0.25</x:v>
      </x:c>
    </x:row>
    <x:row r="24">
      <x:c r="B24" s="9" t="str">
        <x:v>brokerage event weight</x:v>
      </x:c>
      <x:c r="C24" s="9" t="str">
        <x:v>ACTIVE</x:v>
      </x:c>
      <x:c r="D24" s="9" t="str">
        <x:v>fraction</x:v>
      </x:c>
      <x:c r="E24" s="9" t="str">
        <x:v>2026Q2 reported product volume, expense category not product-disaggregated</x:v>
      </x:c>
      <x:c r="F24" s="9"/>
      <x:c r="G24" s="9"/>
      <x:c r="H24" s="9" t="n">
        <x:f>CHOOSE($D$4,H25,H26,H27)</x:f>
        <x:v>0.15</x:v>
      </x:c>
      <x:c r="I24" s="9" t="n">
        <x:f>CHOOSE($D$4,I25,I26,I27)</x:f>
        <x:v>0.15</x:v>
      </x:c>
      <x:c r="J24" s="9" t="n">
        <x:f>CHOOSE($D$4,J25,J26,J27)</x:f>
        <x:v>0.15</x:v>
      </x:c>
      <x:c r="K24" s="9" t="n">
        <x:f>CHOOSE($D$4,K25,K26,K27)</x:f>
        <x:v>0.15</x:v>
      </x:c>
      <x:c r="L24" s="9" t="n">
        <x:f>CHOOSE($D$4,L25,L26,L27)</x:f>
        <x:v>0.15</x:v>
      </x:c>
      <x:c r="M24" s="9" t="n">
        <x:f>CHOOSE($D$4,M25,M26,M27)</x:f>
        <x:v>0.15</x:v>
      </x:c>
      <x:c r="N24" s="9" t="n">
        <x:f>CHOOSE($D$4,N25,N26,N27)</x:f>
        <x:v>0.15</x:v>
      </x:c>
      <x:c r="O24" s="9" t="n">
        <x:f>CHOOSE($D$4,O25,O26,O27)</x:f>
        <x:v>0.15</x:v>
      </x:c>
      <x:c r="P24" s="9" t="n">
        <x:f>CHOOSE($D$4,P25,P26,P27)</x:f>
        <x:v>0.15</x:v>
      </x:c>
      <x:c r="Q24" s="9" t="n">
        <x:f>CHOOSE($D$4,Q25,Q26,Q27)</x:f>
        <x:v>0.15</x:v>
      </x:c>
      <x:c r="R24" s="9" t="n">
        <x:f>CHOOSE($D$4,R25,R26,R27)</x:f>
        <x:v>0.15</x:v>
      </x:c>
      <x:c r="S24" s="9" t="n">
        <x:f>CHOOSE($D$4,S25,S26,S27)</x:f>
        <x:v>0.15</x:v>
      </x:c>
    </x:row>
    <x:row r="25">
      <x:c r="B25" s="3"/>
      <x:c r="C25" s="3" t="str">
        <x:v>Base</x:v>
      </x:c>
      <x:c r="D25" s="3"/>
      <x:c r="E25" s="3"/>
      <x:c r="F25" s="3"/>
      <x:c r="G25" s="3"/>
      <x:c r="H25" s="8" t="n">
        <x:v>0.15</x:v>
      </x:c>
      <x:c r="I25" s="8" t="n">
        <x:v>0.15</x:v>
      </x:c>
      <x:c r="J25" s="8" t="n">
        <x:v>0.15</x:v>
      </x:c>
      <x:c r="K25" s="8" t="n">
        <x:v>0.15</x:v>
      </x:c>
      <x:c r="L25" s="8" t="n">
        <x:v>0.15</x:v>
      </x:c>
      <x:c r="M25" s="8" t="n">
        <x:v>0.15</x:v>
      </x:c>
      <x:c r="N25" s="8" t="n">
        <x:v>0.15</x:v>
      </x:c>
      <x:c r="O25" s="8" t="n">
        <x:v>0.15</x:v>
      </x:c>
      <x:c r="P25" s="8" t="n">
        <x:v>0.15</x:v>
      </x:c>
      <x:c r="Q25" s="8" t="n">
        <x:v>0.15</x:v>
      </x:c>
      <x:c r="R25" s="8" t="n">
        <x:v>0.15</x:v>
      </x:c>
      <x:c r="S25" s="8" t="n">
        <x:v>0.15</x:v>
      </x:c>
    </x:row>
    <x:row r="26">
      <x:c r="B26" s="3"/>
      <x:c r="C26" s="3" t="str">
        <x:v>Upside</x:v>
      </x:c>
      <x:c r="D26" s="3"/>
      <x:c r="E26" s="3"/>
      <x:c r="F26" s="3"/>
      <x:c r="G26" s="3"/>
      <x:c r="H26" s="8" t="n">
        <x:v>0.15</x:v>
      </x:c>
      <x:c r="I26" s="8" t="n">
        <x:v>0.15</x:v>
      </x:c>
      <x:c r="J26" s="8" t="n">
        <x:v>0.15</x:v>
      </x:c>
      <x:c r="K26" s="8" t="n">
        <x:v>0.15</x:v>
      </x:c>
      <x:c r="L26" s="8" t="n">
        <x:v>0.15</x:v>
      </x:c>
      <x:c r="M26" s="8" t="n">
        <x:v>0.15</x:v>
      </x:c>
      <x:c r="N26" s="8" t="n">
        <x:v>0.15</x:v>
      </x:c>
      <x:c r="O26" s="8" t="n">
        <x:v>0.15</x:v>
      </x:c>
      <x:c r="P26" s="8" t="n">
        <x:v>0.15</x:v>
      </x:c>
      <x:c r="Q26" s="8" t="n">
        <x:v>0.15</x:v>
      </x:c>
      <x:c r="R26" s="8" t="n">
        <x:v>0.15</x:v>
      </x:c>
      <x:c r="S26" s="8" t="n">
        <x:v>0.15</x:v>
      </x:c>
    </x:row>
    <x:row r="27">
      <x:c r="B27" s="3"/>
      <x:c r="C27" s="3" t="str">
        <x:v>Downside</x:v>
      </x:c>
      <x:c r="D27" s="3"/>
      <x:c r="E27" s="3"/>
      <x:c r="F27" s="3"/>
      <x:c r="G27" s="3"/>
      <x:c r="H27" s="8" t="n">
        <x:v>0.15</x:v>
      </x:c>
      <x:c r="I27" s="8" t="n">
        <x:v>0.15</x:v>
      </x:c>
      <x:c r="J27" s="8" t="n">
        <x:v>0.15</x:v>
      </x:c>
      <x:c r="K27" s="8" t="n">
        <x:v>0.15</x:v>
      </x:c>
      <x:c r="L27" s="8" t="n">
        <x:v>0.15</x:v>
      </x:c>
      <x:c r="M27" s="8" t="n">
        <x:v>0.15</x:v>
      </x:c>
      <x:c r="N27" s="8" t="n">
        <x:v>0.15</x:v>
      </x:c>
      <x:c r="O27" s="8" t="n">
        <x:v>0.15</x:v>
      </x:c>
      <x:c r="P27" s="8" t="n">
        <x:v>0.15</x:v>
      </x:c>
      <x:c r="Q27" s="8" t="n">
        <x:v>0.15</x:v>
      </x:c>
      <x:c r="R27" s="8" t="n">
        <x:v>0.15</x:v>
      </x:c>
      <x:c r="S27" s="8" t="n">
        <x:v>0.15</x:v>
      </x:c>
    </x:row>
    <x:row r="28">
      <x:c r="B28" s="9" t="str">
        <x:v>brokerage fixed m</x:v>
      </x:c>
      <x:c r="C28" s="9" t="str">
        <x:v>ACTIVE</x:v>
      </x:c>
      <x:c r="D28" s="9" t="str">
        <x:v>USD millions</x:v>
      </x:c>
      <x:c r="E28" s="9" t="str">
        <x:v>2026Q2 brokerage $62m</x:v>
      </x:c>
      <x:c r="F28" s="9"/>
      <x:c r="G28" s="9"/>
      <x:c r="H28" s="9" t="n">
        <x:f>CHOOSE($D$4,H29,H30,H31)</x:f>
        <x:v>31</x:v>
      </x:c>
      <x:c r="I28" s="9" t="n">
        <x:f>CHOOSE($D$4,I29,I30,I31)</x:f>
        <x:v>31</x:v>
      </x:c>
      <x:c r="J28" s="9" t="n">
        <x:f>CHOOSE($D$4,J29,J30,J31)</x:f>
        <x:v>31</x:v>
      </x:c>
      <x:c r="K28" s="9" t="n">
        <x:f>CHOOSE($D$4,K29,K30,K31)</x:f>
        <x:v>31</x:v>
      </x:c>
      <x:c r="L28" s="9" t="n">
        <x:f>CHOOSE($D$4,L29,L30,L31)</x:f>
        <x:v>31</x:v>
      </x:c>
      <x:c r="M28" s="9" t="n">
        <x:f>CHOOSE($D$4,M29,M30,M31)</x:f>
        <x:v>31</x:v>
      </x:c>
      <x:c r="N28" s="9" t="n">
        <x:f>CHOOSE($D$4,N29,N30,N31)</x:f>
        <x:v>31</x:v>
      </x:c>
      <x:c r="O28" s="9" t="n">
        <x:f>CHOOSE($D$4,O29,O30,O31)</x:f>
        <x:v>31</x:v>
      </x:c>
      <x:c r="P28" s="9" t="n">
        <x:f>CHOOSE($D$4,P29,P30,P31)</x:f>
        <x:v>31</x:v>
      </x:c>
      <x:c r="Q28" s="9" t="n">
        <x:f>CHOOSE($D$4,Q29,Q30,Q31)</x:f>
        <x:v>31</x:v>
      </x:c>
      <x:c r="R28" s="9" t="n">
        <x:f>CHOOSE($D$4,R29,R30,R31)</x:f>
        <x:v>31</x:v>
      </x:c>
      <x:c r="S28" s="9" t="n">
        <x:f>CHOOSE($D$4,S29,S30,S31)</x:f>
        <x:v>31</x:v>
      </x:c>
    </x:row>
    <x:row r="29">
      <x:c r="B29" s="3"/>
      <x:c r="C29" s="3" t="str">
        <x:v>Base</x:v>
      </x:c>
      <x:c r="D29" s="3"/>
      <x:c r="E29" s="3"/>
      <x:c r="F29" s="3"/>
      <x:c r="G29" s="3"/>
      <x:c r="H29" s="8" t="n">
        <x:v>31</x:v>
      </x:c>
      <x:c r="I29" s="8" t="n">
        <x:v>31</x:v>
      </x:c>
      <x:c r="J29" s="8" t="n">
        <x:v>31</x:v>
      </x:c>
      <x:c r="K29" s="8" t="n">
        <x:v>31</x:v>
      </x:c>
      <x:c r="L29" s="8" t="n">
        <x:v>31</x:v>
      </x:c>
      <x:c r="M29" s="8" t="n">
        <x:v>31</x:v>
      </x:c>
      <x:c r="N29" s="8" t="n">
        <x:v>31</x:v>
      </x:c>
      <x:c r="O29" s="8" t="n">
        <x:v>31</x:v>
      </x:c>
      <x:c r="P29" s="8" t="n">
        <x:v>31</x:v>
      </x:c>
      <x:c r="Q29" s="8" t="n">
        <x:v>31</x:v>
      </x:c>
      <x:c r="R29" s="8" t="n">
        <x:v>31</x:v>
      </x:c>
      <x:c r="S29" s="8" t="n">
        <x:v>31</x:v>
      </x:c>
    </x:row>
    <x:row r="30">
      <x:c r="B30" s="3"/>
      <x:c r="C30" s="3" t="str">
        <x:v>Upside</x:v>
      </x:c>
      <x:c r="D30" s="3"/>
      <x:c r="E30" s="3"/>
      <x:c r="F30" s="3"/>
      <x:c r="G30" s="3"/>
      <x:c r="H30" s="8" t="n">
        <x:v>31</x:v>
      </x:c>
      <x:c r="I30" s="8" t="n">
        <x:v>31</x:v>
      </x:c>
      <x:c r="J30" s="8" t="n">
        <x:v>31</x:v>
      </x:c>
      <x:c r="K30" s="8" t="n">
        <x:v>31</x:v>
      </x:c>
      <x:c r="L30" s="8" t="n">
        <x:v>31</x:v>
      </x:c>
      <x:c r="M30" s="8" t="n">
        <x:v>31</x:v>
      </x:c>
      <x:c r="N30" s="8" t="n">
        <x:v>31</x:v>
      </x:c>
      <x:c r="O30" s="8" t="n">
        <x:v>31</x:v>
      </x:c>
      <x:c r="P30" s="8" t="n">
        <x:v>31</x:v>
      </x:c>
      <x:c r="Q30" s="8" t="n">
        <x:v>31</x:v>
      </x:c>
      <x:c r="R30" s="8" t="n">
        <x:v>31</x:v>
      </x:c>
      <x:c r="S30" s="8" t="n">
        <x:v>31</x:v>
      </x:c>
    </x:row>
    <x:row r="31">
      <x:c r="B31" s="3"/>
      <x:c r="C31" s="3" t="str">
        <x:v>Downside</x:v>
      </x:c>
      <x:c r="D31" s="3"/>
      <x:c r="E31" s="3"/>
      <x:c r="F31" s="3"/>
      <x:c r="G31" s="3"/>
      <x:c r="H31" s="8" t="n">
        <x:v>31</x:v>
      </x:c>
      <x:c r="I31" s="8" t="n">
        <x:v>31</x:v>
      </x:c>
      <x:c r="J31" s="8" t="n">
        <x:v>31</x:v>
      </x:c>
      <x:c r="K31" s="8" t="n">
        <x:v>31</x:v>
      </x:c>
      <x:c r="L31" s="8" t="n">
        <x:v>31</x:v>
      </x:c>
      <x:c r="M31" s="8" t="n">
        <x:v>31</x:v>
      </x:c>
      <x:c r="N31" s="8" t="n">
        <x:v>31</x:v>
      </x:c>
      <x:c r="O31" s="8" t="n">
        <x:v>31</x:v>
      </x:c>
      <x:c r="P31" s="8" t="n">
        <x:v>31</x:v>
      </x:c>
      <x:c r="Q31" s="8" t="n">
        <x:v>31</x:v>
      </x:c>
      <x:c r="R31" s="8" t="n">
        <x:v>31</x:v>
      </x:c>
      <x:c r="S31" s="8" t="n">
        <x:v>31</x:v>
      </x:c>
    </x:row>
    <x:row r="32">
      <x:c r="B32" s="9" t="str">
        <x:v>brokerage options weight</x:v>
      </x:c>
      <x:c r="C32" s="9" t="str">
        <x:v>ACTIVE</x:v>
      </x:c>
      <x:c r="D32" s="9" t="str">
        <x:v>fraction</x:v>
      </x:c>
      <x:c r="E32" s="9" t="str">
        <x:v>2026Q2 reported product volume, expense category not product-disaggregated</x:v>
      </x:c>
      <x:c r="F32" s="9"/>
      <x:c r="G32" s="9"/>
      <x:c r="H32" s="9" t="n">
        <x:f>CHOOSE($D$4,H33,H34,H35)</x:f>
        <x:v>0.4</x:v>
      </x:c>
      <x:c r="I32" s="9" t="n">
        <x:f>CHOOSE($D$4,I33,I34,I35)</x:f>
        <x:v>0.4</x:v>
      </x:c>
      <x:c r="J32" s="9" t="n">
        <x:f>CHOOSE($D$4,J33,J34,J35)</x:f>
        <x:v>0.4</x:v>
      </x:c>
      <x:c r="K32" s="9" t="n">
        <x:f>CHOOSE($D$4,K33,K34,K35)</x:f>
        <x:v>0.4</x:v>
      </x:c>
      <x:c r="L32" s="9" t="n">
        <x:f>CHOOSE($D$4,L33,L34,L35)</x:f>
        <x:v>0.4</x:v>
      </x:c>
      <x:c r="M32" s="9" t="n">
        <x:f>CHOOSE($D$4,M33,M34,M35)</x:f>
        <x:v>0.4</x:v>
      </x:c>
      <x:c r="N32" s="9" t="n">
        <x:f>CHOOSE($D$4,N33,N34,N35)</x:f>
        <x:v>0.4</x:v>
      </x:c>
      <x:c r="O32" s="9" t="n">
        <x:f>CHOOSE($D$4,O33,O34,O35)</x:f>
        <x:v>0.4</x:v>
      </x:c>
      <x:c r="P32" s="9" t="n">
        <x:f>CHOOSE($D$4,P33,P34,P35)</x:f>
        <x:v>0.4</x:v>
      </x:c>
      <x:c r="Q32" s="9" t="n">
        <x:f>CHOOSE($D$4,Q33,Q34,Q35)</x:f>
        <x:v>0.4</x:v>
      </x:c>
      <x:c r="R32" s="9" t="n">
        <x:f>CHOOSE($D$4,R33,R34,R35)</x:f>
        <x:v>0.4</x:v>
      </x:c>
      <x:c r="S32" s="9" t="n">
        <x:f>CHOOSE($D$4,S33,S34,S35)</x:f>
        <x:v>0.4</x:v>
      </x:c>
    </x:row>
    <x:row r="33">
      <x:c r="B33" s="3"/>
      <x:c r="C33" s="3" t="str">
        <x:v>Base</x:v>
      </x:c>
      <x:c r="D33" s="3"/>
      <x:c r="E33" s="3"/>
      <x:c r="F33" s="3"/>
      <x:c r="G33" s="3"/>
      <x:c r="H33" s="8" t="n">
        <x:v>0.4</x:v>
      </x:c>
      <x:c r="I33" s="8" t="n">
        <x:v>0.4</x:v>
      </x:c>
      <x:c r="J33" s="8" t="n">
        <x:v>0.4</x:v>
      </x:c>
      <x:c r="K33" s="8" t="n">
        <x:v>0.4</x:v>
      </x:c>
      <x:c r="L33" s="8" t="n">
        <x:v>0.4</x:v>
      </x:c>
      <x:c r="M33" s="8" t="n">
        <x:v>0.4</x:v>
      </x:c>
      <x:c r="N33" s="8" t="n">
        <x:v>0.4</x:v>
      </x:c>
      <x:c r="O33" s="8" t="n">
        <x:v>0.4</x:v>
      </x:c>
      <x:c r="P33" s="8" t="n">
        <x:v>0.4</x:v>
      </x:c>
      <x:c r="Q33" s="8" t="n">
        <x:v>0.4</x:v>
      </x:c>
      <x:c r="R33" s="8" t="n">
        <x:v>0.4</x:v>
      </x:c>
      <x:c r="S33" s="8" t="n">
        <x:v>0.4</x:v>
      </x:c>
    </x:row>
    <x:row r="34">
      <x:c r="B34" s="3"/>
      <x:c r="C34" s="3" t="str">
        <x:v>Upside</x:v>
      </x:c>
      <x:c r="D34" s="3"/>
      <x:c r="E34" s="3"/>
      <x:c r="F34" s="3"/>
      <x:c r="G34" s="3"/>
      <x:c r="H34" s="8" t="n">
        <x:v>0.4</x:v>
      </x:c>
      <x:c r="I34" s="8" t="n">
        <x:v>0.4</x:v>
      </x:c>
      <x:c r="J34" s="8" t="n">
        <x:v>0.4</x:v>
      </x:c>
      <x:c r="K34" s="8" t="n">
        <x:v>0.4</x:v>
      </x:c>
      <x:c r="L34" s="8" t="n">
        <x:v>0.4</x:v>
      </x:c>
      <x:c r="M34" s="8" t="n">
        <x:v>0.4</x:v>
      </x:c>
      <x:c r="N34" s="8" t="n">
        <x:v>0.4</x:v>
      </x:c>
      <x:c r="O34" s="8" t="n">
        <x:v>0.4</x:v>
      </x:c>
      <x:c r="P34" s="8" t="n">
        <x:v>0.4</x:v>
      </x:c>
      <x:c r="Q34" s="8" t="n">
        <x:v>0.4</x:v>
      </x:c>
      <x:c r="R34" s="8" t="n">
        <x:v>0.4</x:v>
      </x:c>
      <x:c r="S34" s="8" t="n">
        <x:v>0.4</x:v>
      </x:c>
    </x:row>
    <x:row r="35">
      <x:c r="B35" s="3"/>
      <x:c r="C35" s="3" t="str">
        <x:v>Downside</x:v>
      </x:c>
      <x:c r="D35" s="3"/>
      <x:c r="E35" s="3"/>
      <x:c r="F35" s="3"/>
      <x:c r="G35" s="3"/>
      <x:c r="H35" s="8" t="n">
        <x:v>0.4</x:v>
      </x:c>
      <x:c r="I35" s="8" t="n">
        <x:v>0.4</x:v>
      </x:c>
      <x:c r="J35" s="8" t="n">
        <x:v>0.4</x:v>
      </x:c>
      <x:c r="K35" s="8" t="n">
        <x:v>0.4</x:v>
      </x:c>
      <x:c r="L35" s="8" t="n">
        <x:v>0.4</x:v>
      </x:c>
      <x:c r="M35" s="8" t="n">
        <x:v>0.4</x:v>
      </x:c>
      <x:c r="N35" s="8" t="n">
        <x:v>0.4</x:v>
      </x:c>
      <x:c r="O35" s="8" t="n">
        <x:v>0.4</x:v>
      </x:c>
      <x:c r="P35" s="8" t="n">
        <x:v>0.4</x:v>
      </x:c>
      <x:c r="Q35" s="8" t="n">
        <x:v>0.4</x:v>
      </x:c>
      <x:c r="R35" s="8" t="n">
        <x:v>0.4</x:v>
      </x:c>
      <x:c r="S35" s="8" t="n">
        <x:v>0.4</x:v>
      </x:c>
    </x:row>
    <x:row r="36">
      <x:c r="B36" s="9" t="str">
        <x:v>brokerage variable m</x:v>
      </x:c>
      <x:c r="C36" s="9" t="str">
        <x:v>ACTIVE</x:v>
      </x:c>
      <x:c r="D36" s="9" t="str">
        <x:v>USD millions</x:v>
      </x:c>
      <x:c r="E36" s="9" t="str">
        <x:v>2026Q2 brokerage $62m</x:v>
      </x:c>
      <x:c r="F36" s="9"/>
      <x:c r="G36" s="9"/>
      <x:c r="H36" s="9" t="n">
        <x:f>CHOOSE($D$4,H37,H38,H39)</x:f>
        <x:v>31</x:v>
      </x:c>
      <x:c r="I36" s="9" t="n">
        <x:f>CHOOSE($D$4,I37,I38,I39)</x:f>
        <x:v>31</x:v>
      </x:c>
      <x:c r="J36" s="9" t="n">
        <x:f>CHOOSE($D$4,J37,J38,J39)</x:f>
        <x:v>31</x:v>
      </x:c>
      <x:c r="K36" s="9" t="n">
        <x:f>CHOOSE($D$4,K37,K38,K39)</x:f>
        <x:v>31</x:v>
      </x:c>
      <x:c r="L36" s="9" t="n">
        <x:f>CHOOSE($D$4,L37,L38,L39)</x:f>
        <x:v>31</x:v>
      </x:c>
      <x:c r="M36" s="9" t="n">
        <x:f>CHOOSE($D$4,M37,M38,M39)</x:f>
        <x:v>31</x:v>
      </x:c>
      <x:c r="N36" s="9" t="n">
        <x:f>CHOOSE($D$4,N37,N38,N39)</x:f>
        <x:v>31</x:v>
      </x:c>
      <x:c r="O36" s="9" t="n">
        <x:f>CHOOSE($D$4,O37,O38,O39)</x:f>
        <x:v>31</x:v>
      </x:c>
      <x:c r="P36" s="9" t="n">
        <x:f>CHOOSE($D$4,P37,P38,P39)</x:f>
        <x:v>31</x:v>
      </x:c>
      <x:c r="Q36" s="9" t="n">
        <x:f>CHOOSE($D$4,Q37,Q38,Q39)</x:f>
        <x:v>31</x:v>
      </x:c>
      <x:c r="R36" s="9" t="n">
        <x:f>CHOOSE($D$4,R37,R38,R39)</x:f>
        <x:v>31</x:v>
      </x:c>
      <x:c r="S36" s="9" t="n">
        <x:f>CHOOSE($D$4,S37,S38,S39)</x:f>
        <x:v>31</x:v>
      </x:c>
    </x:row>
    <x:row r="37">
      <x:c r="B37" s="3"/>
      <x:c r="C37" s="3" t="str">
        <x:v>Base</x:v>
      </x:c>
      <x:c r="D37" s="3"/>
      <x:c r="E37" s="3"/>
      <x:c r="F37" s="3"/>
      <x:c r="G37" s="3"/>
      <x:c r="H37" s="8" t="n">
        <x:v>31</x:v>
      </x:c>
      <x:c r="I37" s="8" t="n">
        <x:v>31</x:v>
      </x:c>
      <x:c r="J37" s="8" t="n">
        <x:v>31</x:v>
      </x:c>
      <x:c r="K37" s="8" t="n">
        <x:v>31</x:v>
      </x:c>
      <x:c r="L37" s="8" t="n">
        <x:v>31</x:v>
      </x:c>
      <x:c r="M37" s="8" t="n">
        <x:v>31</x:v>
      </x:c>
      <x:c r="N37" s="8" t="n">
        <x:v>31</x:v>
      </x:c>
      <x:c r="O37" s="8" t="n">
        <x:v>31</x:v>
      </x:c>
      <x:c r="P37" s="8" t="n">
        <x:v>31</x:v>
      </x:c>
      <x:c r="Q37" s="8" t="n">
        <x:v>31</x:v>
      </x:c>
      <x:c r="R37" s="8" t="n">
        <x:v>31</x:v>
      </x:c>
      <x:c r="S37" s="8" t="n">
        <x:v>31</x:v>
      </x:c>
    </x:row>
    <x:row r="38">
      <x:c r="B38" s="3"/>
      <x:c r="C38" s="3" t="str">
        <x:v>Upside</x:v>
      </x:c>
      <x:c r="D38" s="3"/>
      <x:c r="E38" s="3"/>
      <x:c r="F38" s="3"/>
      <x:c r="G38" s="3"/>
      <x:c r="H38" s="8" t="n">
        <x:v>31</x:v>
      </x:c>
      <x:c r="I38" s="8" t="n">
        <x:v>31</x:v>
      </x:c>
      <x:c r="J38" s="8" t="n">
        <x:v>31</x:v>
      </x:c>
      <x:c r="K38" s="8" t="n">
        <x:v>31</x:v>
      </x:c>
      <x:c r="L38" s="8" t="n">
        <x:v>31</x:v>
      </x:c>
      <x:c r="M38" s="8" t="n">
        <x:v>31</x:v>
      </x:c>
      <x:c r="N38" s="8" t="n">
        <x:v>31</x:v>
      </x:c>
      <x:c r="O38" s="8" t="n">
        <x:v>31</x:v>
      </x:c>
      <x:c r="P38" s="8" t="n">
        <x:v>31</x:v>
      </x:c>
      <x:c r="Q38" s="8" t="n">
        <x:v>31</x:v>
      </x:c>
      <x:c r="R38" s="8" t="n">
        <x:v>31</x:v>
      </x:c>
      <x:c r="S38" s="8" t="n">
        <x:v>31</x:v>
      </x:c>
    </x:row>
    <x:row r="39">
      <x:c r="B39" s="3"/>
      <x:c r="C39" s="3" t="str">
        <x:v>Downside</x:v>
      </x:c>
      <x:c r="D39" s="3"/>
      <x:c r="E39" s="3"/>
      <x:c r="F39" s="3"/>
      <x:c r="G39" s="3"/>
      <x:c r="H39" s="8" t="n">
        <x:v>31</x:v>
      </x:c>
      <x:c r="I39" s="8" t="n">
        <x:v>31</x:v>
      </x:c>
      <x:c r="J39" s="8" t="n">
        <x:v>31</x:v>
      </x:c>
      <x:c r="K39" s="8" t="n">
        <x:v>31</x:v>
      </x:c>
      <x:c r="L39" s="8" t="n">
        <x:v>31</x:v>
      </x:c>
      <x:c r="M39" s="8" t="n">
        <x:v>31</x:v>
      </x:c>
      <x:c r="N39" s="8" t="n">
        <x:v>31</x:v>
      </x:c>
      <x:c r="O39" s="8" t="n">
        <x:v>31</x:v>
      </x:c>
      <x:c r="P39" s="8" t="n">
        <x:v>31</x:v>
      </x:c>
      <x:c r="Q39" s="8" t="n">
        <x:v>31</x:v>
      </x:c>
      <x:c r="R39" s="8" t="n">
        <x:v>31</x:v>
      </x:c>
      <x:c r="S39" s="8" t="n">
        <x:v>31</x:v>
      </x:c>
    </x:row>
    <x:row r="40">
      <x:c r="B40" s="9" t="str">
        <x:v>cash capture ratio</x:v>
      </x:c>
      <x:c r="C40" s="9" t="str">
        <x:v>ACTIVE</x:v>
      </x:c>
      <x:c r="D40" s="9" t="str">
        <x:v>fraction</x:v>
      </x:c>
      <x:c r="E40" s="9" t="str">
        <x:v>Cash/deposits + sweep versus recent net deposit growth; affected by internal transfers</x:v>
      </x:c>
      <x:c r="F40" s="9"/>
      <x:c r="G40" s="9"/>
      <x:c r="H40" s="9" t="n">
        <x:f>CHOOSE($D$4,H41,H42,H43)</x:f>
        <x:v>0.25</x:v>
      </x:c>
      <x:c r="I40" s="9" t="n">
        <x:f>CHOOSE($D$4,I41,I42,I43)</x:f>
        <x:v>0.25</x:v>
      </x:c>
      <x:c r="J40" s="9" t="n">
        <x:f>CHOOSE($D$4,J41,J42,J43)</x:f>
        <x:v>0.25</x:v>
      </x:c>
      <x:c r="K40" s="9" t="n">
        <x:f>CHOOSE($D$4,K41,K42,K43)</x:f>
        <x:v>0.25</x:v>
      </x:c>
      <x:c r="L40" s="9" t="n">
        <x:f>CHOOSE($D$4,L41,L42,L43)</x:f>
        <x:v>0.25</x:v>
      </x:c>
      <x:c r="M40" s="9" t="n">
        <x:f>CHOOSE($D$4,M41,M42,M43)</x:f>
        <x:v>0.25</x:v>
      </x:c>
      <x:c r="N40" s="9" t="n">
        <x:f>CHOOSE($D$4,N41,N42,N43)</x:f>
        <x:v>0.25</x:v>
      </x:c>
      <x:c r="O40" s="9" t="n">
        <x:f>CHOOSE($D$4,O41,O42,O43)</x:f>
        <x:v>0.25</x:v>
      </x:c>
      <x:c r="P40" s="9" t="n">
        <x:f>CHOOSE($D$4,P41,P42,P43)</x:f>
        <x:v>0.25</x:v>
      </x:c>
      <x:c r="Q40" s="9" t="n">
        <x:f>CHOOSE($D$4,Q41,Q42,Q43)</x:f>
        <x:v>0.25</x:v>
      </x:c>
      <x:c r="R40" s="9" t="n">
        <x:f>CHOOSE($D$4,R41,R42,R43)</x:f>
        <x:v>0.25</x:v>
      </x:c>
      <x:c r="S40" s="9" t="n">
        <x:f>CHOOSE($D$4,S41,S42,S43)</x:f>
        <x:v>0.25</x:v>
      </x:c>
    </x:row>
    <x:row r="41">
      <x:c r="B41" s="3"/>
      <x:c r="C41" s="3" t="str">
        <x:v>Base</x:v>
      </x:c>
      <x:c r="D41" s="3"/>
      <x:c r="E41" s="3"/>
      <x:c r="F41" s="3"/>
      <x:c r="G41" s="3"/>
      <x:c r="H41" s="8" t="n">
        <x:v>0.25</x:v>
      </x:c>
      <x:c r="I41" s="8" t="n">
        <x:v>0.25</x:v>
      </x:c>
      <x:c r="J41" s="8" t="n">
        <x:v>0.25</x:v>
      </x:c>
      <x:c r="K41" s="8" t="n">
        <x:v>0.25</x:v>
      </x:c>
      <x:c r="L41" s="8" t="n">
        <x:v>0.25</x:v>
      </x:c>
      <x:c r="M41" s="8" t="n">
        <x:v>0.25</x:v>
      </x:c>
      <x:c r="N41" s="8" t="n">
        <x:v>0.25</x:v>
      </x:c>
      <x:c r="O41" s="8" t="n">
        <x:v>0.25</x:v>
      </x:c>
      <x:c r="P41" s="8" t="n">
        <x:v>0.25</x:v>
      </x:c>
      <x:c r="Q41" s="8" t="n">
        <x:v>0.25</x:v>
      </x:c>
      <x:c r="R41" s="8" t="n">
        <x:v>0.25</x:v>
      </x:c>
      <x:c r="S41" s="8" t="n">
        <x:v>0.25</x:v>
      </x:c>
    </x:row>
    <x:row r="42">
      <x:c r="B42" s="3"/>
      <x:c r="C42" s="3" t="str">
        <x:v>Upside</x:v>
      </x:c>
      <x:c r="D42" s="3"/>
      <x:c r="E42" s="3"/>
      <x:c r="F42" s="3"/>
      <x:c r="G42" s="3"/>
      <x:c r="H42" s="8" t="n">
        <x:v>0.3</x:v>
      </x:c>
      <x:c r="I42" s="8" t="n">
        <x:v>0.3</x:v>
      </x:c>
      <x:c r="J42" s="8" t="n">
        <x:v>0.3</x:v>
      </x:c>
      <x:c r="K42" s="8" t="n">
        <x:v>0.3</x:v>
      </x:c>
      <x:c r="L42" s="8" t="n">
        <x:v>0.3</x:v>
      </x:c>
      <x:c r="M42" s="8" t="n">
        <x:v>0.3</x:v>
      </x:c>
      <x:c r="N42" s="8" t="n">
        <x:v>0.3</x:v>
      </x:c>
      <x:c r="O42" s="8" t="n">
        <x:v>0.3</x:v>
      </x:c>
      <x:c r="P42" s="8" t="n">
        <x:v>0.3</x:v>
      </x:c>
      <x:c r="Q42" s="8" t="n">
        <x:v>0.3</x:v>
      </x:c>
      <x:c r="R42" s="8" t="n">
        <x:v>0.3</x:v>
      </x:c>
      <x:c r="S42" s="8" t="n">
        <x:v>0.3</x:v>
      </x:c>
    </x:row>
    <x:row r="43">
      <x:c r="B43" s="3"/>
      <x:c r="C43" s="3" t="str">
        <x:v>Downside</x:v>
      </x:c>
      <x:c r="D43" s="3"/>
      <x:c r="E43" s="3"/>
      <x:c r="F43" s="3"/>
      <x:c r="G43" s="3"/>
      <x:c r="H43" s="8" t="n">
        <x:v>0.15</x:v>
      </x:c>
      <x:c r="I43" s="8" t="n">
        <x:v>0.15</x:v>
      </x:c>
      <x:c r="J43" s="8" t="n">
        <x:v>0.15</x:v>
      </x:c>
      <x:c r="K43" s="8" t="n">
        <x:v>0.15</x:v>
      </x:c>
      <x:c r="L43" s="8" t="n">
        <x:v>0.15</x:v>
      </x:c>
      <x:c r="M43" s="8" t="n">
        <x:v>0.15</x:v>
      </x:c>
      <x:c r="N43" s="8" t="n">
        <x:v>0.15</x:v>
      </x:c>
      <x:c r="O43" s="8" t="n">
        <x:v>0.15</x:v>
      </x:c>
      <x:c r="P43" s="8" t="n">
        <x:v>0.15</x:v>
      </x:c>
      <x:c r="Q43" s="8" t="n">
        <x:v>0.15</x:v>
      </x:c>
      <x:c r="R43" s="8" t="n">
        <x:v>0.15</x:v>
      </x:c>
      <x:c r="S43" s="8" t="n">
        <x:v>0.15</x:v>
      </x:c>
    </x:row>
    <x:row r="44">
      <x:c r="B44" s="9" t="str">
        <x:v>cash deposit rate pass through</x:v>
      </x:c>
      <x:c r="C44" s="9" t="str">
        <x:v>ACTIVE</x:v>
      </x:c>
      <x:c r="D44" s="9" t="str">
        <x:v>fraction</x:v>
      </x:c>
      <x:c r="E44" s="9" t="str">
        <x:v>2025Q2/2026Q2 matched balance/yield disclosures; cash-sweep definition break</x:v>
      </x:c>
      <x:c r="F44" s="9"/>
      <x:c r="G44" s="9"/>
      <x:c r="H44" s="9" t="n">
        <x:f>CHOOSE($D$4,H45,H46,H47)</x:f>
        <x:v>0.3</x:v>
      </x:c>
      <x:c r="I44" s="9" t="n">
        <x:f>CHOOSE($D$4,I45,I46,I47)</x:f>
        <x:v>0.3</x:v>
      </x:c>
      <x:c r="J44" s="9" t="n">
        <x:f>CHOOSE($D$4,J45,J46,J47)</x:f>
        <x:v>0.3</x:v>
      </x:c>
      <x:c r="K44" s="9" t="n">
        <x:f>CHOOSE($D$4,K45,K46,K47)</x:f>
        <x:v>0.3</x:v>
      </x:c>
      <x:c r="L44" s="9" t="n">
        <x:f>CHOOSE($D$4,L45,L46,L47)</x:f>
        <x:v>0.3</x:v>
      </x:c>
      <x:c r="M44" s="9" t="n">
        <x:f>CHOOSE($D$4,M45,M46,M47)</x:f>
        <x:v>0.3</x:v>
      </x:c>
      <x:c r="N44" s="9" t="n">
        <x:f>CHOOSE($D$4,N45,N46,N47)</x:f>
        <x:v>0.3</x:v>
      </x:c>
      <x:c r="O44" s="9" t="n">
        <x:f>CHOOSE($D$4,O45,O46,O47)</x:f>
        <x:v>0.3</x:v>
      </x:c>
      <x:c r="P44" s="9" t="n">
        <x:f>CHOOSE($D$4,P45,P46,P47)</x:f>
        <x:v>0.3</x:v>
      </x:c>
      <x:c r="Q44" s="9" t="n">
        <x:f>CHOOSE($D$4,Q45,Q46,Q47)</x:f>
        <x:v>0.3</x:v>
      </x:c>
      <x:c r="R44" s="9" t="n">
        <x:f>CHOOSE($D$4,R45,R46,R47)</x:f>
        <x:v>0.3</x:v>
      </x:c>
      <x:c r="S44" s="9" t="n">
        <x:f>CHOOSE($D$4,S45,S46,S47)</x:f>
        <x:v>0.3</x:v>
      </x:c>
    </x:row>
    <x:row r="45">
      <x:c r="B45" s="3"/>
      <x:c r="C45" s="3" t="str">
        <x:v>Base</x:v>
      </x:c>
      <x:c r="D45" s="3"/>
      <x:c r="E45" s="3"/>
      <x:c r="F45" s="3"/>
      <x:c r="G45" s="3"/>
      <x:c r="H45" s="8" t="n">
        <x:v>0.3</x:v>
      </x:c>
      <x:c r="I45" s="8" t="n">
        <x:v>0.3</x:v>
      </x:c>
      <x:c r="J45" s="8" t="n">
        <x:v>0.3</x:v>
      </x:c>
      <x:c r="K45" s="8" t="n">
        <x:v>0.3</x:v>
      </x:c>
      <x:c r="L45" s="8" t="n">
        <x:v>0.3</x:v>
      </x:c>
      <x:c r="M45" s="8" t="n">
        <x:v>0.3</x:v>
      </x:c>
      <x:c r="N45" s="8" t="n">
        <x:v>0.3</x:v>
      </x:c>
      <x:c r="O45" s="8" t="n">
        <x:v>0.3</x:v>
      </x:c>
      <x:c r="P45" s="8" t="n">
        <x:v>0.3</x:v>
      </x:c>
      <x:c r="Q45" s="8" t="n">
        <x:v>0.3</x:v>
      </x:c>
      <x:c r="R45" s="8" t="n">
        <x:v>0.3</x:v>
      </x:c>
      <x:c r="S45" s="8" t="n">
        <x:v>0.3</x:v>
      </x:c>
    </x:row>
    <x:row r="46">
      <x:c r="B46" s="3"/>
      <x:c r="C46" s="3" t="str">
        <x:v>Upside</x:v>
      </x:c>
      <x:c r="D46" s="3"/>
      <x:c r="E46" s="3"/>
      <x:c r="F46" s="3"/>
      <x:c r="G46" s="3"/>
      <x:c r="H46" s="8" t="n">
        <x:v>0.3</x:v>
      </x:c>
      <x:c r="I46" s="8" t="n">
        <x:v>0.3</x:v>
      </x:c>
      <x:c r="J46" s="8" t="n">
        <x:v>0.3</x:v>
      </x:c>
      <x:c r="K46" s="8" t="n">
        <x:v>0.3</x:v>
      </x:c>
      <x:c r="L46" s="8" t="n">
        <x:v>0.3</x:v>
      </x:c>
      <x:c r="M46" s="8" t="n">
        <x:v>0.3</x:v>
      </x:c>
      <x:c r="N46" s="8" t="n">
        <x:v>0.3</x:v>
      </x:c>
      <x:c r="O46" s="8" t="n">
        <x:v>0.3</x:v>
      </x:c>
      <x:c r="P46" s="8" t="n">
        <x:v>0.3</x:v>
      </x:c>
      <x:c r="Q46" s="8" t="n">
        <x:v>0.3</x:v>
      </x:c>
      <x:c r="R46" s="8" t="n">
        <x:v>0.3</x:v>
      </x:c>
      <x:c r="S46" s="8" t="n">
        <x:v>0.3</x:v>
      </x:c>
    </x:row>
    <x:row r="47">
      <x:c r="B47" s="3"/>
      <x:c r="C47" s="3" t="str">
        <x:v>Downside</x:v>
      </x:c>
      <x:c r="D47" s="3"/>
      <x:c r="E47" s="3"/>
      <x:c r="F47" s="3"/>
      <x:c r="G47" s="3"/>
      <x:c r="H47" s="8" t="n">
        <x:v>0.3</x:v>
      </x:c>
      <x:c r="I47" s="8" t="n">
        <x:v>0.3</x:v>
      </x:c>
      <x:c r="J47" s="8" t="n">
        <x:v>0.3</x:v>
      </x:c>
      <x:c r="K47" s="8" t="n">
        <x:v>0.3</x:v>
      </x:c>
      <x:c r="L47" s="8" t="n">
        <x:v>0.3</x:v>
      </x:c>
      <x:c r="M47" s="8" t="n">
        <x:v>0.3</x:v>
      </x:c>
      <x:c r="N47" s="8" t="n">
        <x:v>0.3</x:v>
      </x:c>
      <x:c r="O47" s="8" t="n">
        <x:v>0.3</x:v>
      </x:c>
      <x:c r="P47" s="8" t="n">
        <x:v>0.3</x:v>
      </x:c>
      <x:c r="Q47" s="8" t="n">
        <x:v>0.3</x:v>
      </x:c>
      <x:c r="R47" s="8" t="n">
        <x:v>0.3</x:v>
      </x:c>
      <x:c r="S47" s="8" t="n">
        <x:v>0.3</x:v>
      </x:c>
    </x:row>
    <x:row r="48">
      <x:c r="B48" s="9" t="str">
        <x:v>cash deposit realized yield pct</x:v>
      </x:c>
      <x:c r="C48" s="9" t="str">
        <x:v>ACTIVE</x:v>
      </x:c>
      <x:c r="D48" s="9" t="str">
        <x:v>percent</x:v>
      </x:c>
      <x:c r="E48" s="9" t="str">
        <x:v>2026Q2 annualized realized cash_deposit yield 2.022%</x:v>
      </x:c>
      <x:c r="F48" s="9"/>
      <x:c r="G48" s="9"/>
      <x:c r="H48" s="9" t="n">
        <x:f>CHOOSE($D$4,H49,H50,H51)</x:f>
        <x:v>2.095313179487586</x:v>
      </x:c>
      <x:c r="I48" s="9" t="n">
        <x:f>CHOOSE($D$4,I49,I50,I51)</x:f>
        <x:v>2.162813179487586</x:v>
      </x:c>
      <x:c r="J48" s="9" t="n">
        <x:f>CHOOSE($D$4,J49,J50,J51)</x:f>
        <x:v>2.1478131794875863</x:v>
      </x:c>
      <x:c r="K48" s="9" t="n">
        <x:f>CHOOSE($D$4,K49,K50,K51)</x:f>
        <x:v>2.132813179487586</x:v>
      </x:c>
      <x:c r="L48" s="9" t="n">
        <x:f>CHOOSE($D$4,L49,L50,L51)</x:f>
        <x:v>2.117813179487586</x:v>
      </x:c>
      <x:c r="M48" s="9" t="n">
        <x:f>CHOOSE($D$4,M49,M50,M51)</x:f>
        <x:v>2.1028131794875864</x:v>
      </x:c>
      <x:c r="N48" s="9" t="n">
        <x:f>CHOOSE($D$4,N49,N50,N51)</x:f>
        <x:v>2.0803131794875864</x:v>
      </x:c>
      <x:c r="O48" s="9" t="n">
        <x:f>CHOOSE($D$4,O49,O50,O51)</x:f>
        <x:v>2.0578131794875865</x:v>
      </x:c>
      <x:c r="P48" s="9" t="n">
        <x:f>CHOOSE($D$4,P49,P50,P51)</x:f>
        <x:v>2.035313179487586</x:v>
      </x:c>
      <x:c r="Q48" s="9" t="n">
        <x:f>CHOOSE($D$4,Q49,Q50,Q51)</x:f>
        <x:v>2.012813179487586</x:v>
      </x:c>
      <x:c r="R48" s="9" t="n">
        <x:f>CHOOSE($D$4,R49,R50,R51)</x:f>
        <x:v>1.9828131794875863</x:v>
      </x:c>
      <x:c r="S48" s="9" t="n">
        <x:f>CHOOSE($D$4,S49,S50,S51)</x:f>
        <x:v>1.9528131794875865</x:v>
      </x:c>
    </x:row>
    <x:row r="49">
      <x:c r="B49" s="3"/>
      <x:c r="C49" s="3" t="str">
        <x:v>Base</x:v>
      </x:c>
      <x:c r="D49" s="3"/>
      <x:c r="E49" s="3"/>
      <x:c r="F49" s="3"/>
      <x:c r="G49" s="3"/>
      <x:c r="H49" s="8" t="n">
        <x:v>2.095313179487586</x:v>
      </x:c>
      <x:c r="I49" s="8" t="n">
        <x:v>2.162813179487586</x:v>
      </x:c>
      <x:c r="J49" s="8" t="n">
        <x:v>2.1478131794875863</x:v>
      </x:c>
      <x:c r="K49" s="8" t="n">
        <x:v>2.132813179487586</x:v>
      </x:c>
      <x:c r="L49" s="8" t="n">
        <x:v>2.117813179487586</x:v>
      </x:c>
      <x:c r="M49" s="8" t="n">
        <x:v>2.1028131794875864</x:v>
      </x:c>
      <x:c r="N49" s="8" t="n">
        <x:v>2.0803131794875864</x:v>
      </x:c>
      <x:c r="O49" s="8" t="n">
        <x:v>2.0578131794875865</x:v>
      </x:c>
      <x:c r="P49" s="8" t="n">
        <x:v>2.035313179487586</x:v>
      </x:c>
      <x:c r="Q49" s="8" t="n">
        <x:v>2.012813179487586</x:v>
      </x:c>
      <x:c r="R49" s="8" t="n">
        <x:v>1.9828131794875863</x:v>
      </x:c>
      <x:c r="S49" s="8" t="n">
        <x:v>1.9528131794875865</x:v>
      </x:c>
    </x:row>
    <x:row r="50">
      <x:c r="B50" s="3"/>
      <x:c r="C50" s="3" t="str">
        <x:v>Upside</x:v>
      </x:c>
      <x:c r="D50" s="3"/>
      <x:c r="E50" s="3"/>
      <x:c r="F50" s="3"/>
      <x:c r="G50" s="3"/>
      <x:c r="H50" s="8" t="n">
        <x:v>2.095313179487586</x:v>
      </x:c>
      <x:c r="I50" s="8" t="n">
        <x:v>2.162813179487586</x:v>
      </x:c>
      <x:c r="J50" s="8" t="n">
        <x:v>2.1478131794875863</x:v>
      </x:c>
      <x:c r="K50" s="8" t="n">
        <x:v>2.132813179487586</x:v>
      </x:c>
      <x:c r="L50" s="8" t="n">
        <x:v>2.117813179487586</x:v>
      </x:c>
      <x:c r="M50" s="8" t="n">
        <x:v>2.1028131794875864</x:v>
      </x:c>
      <x:c r="N50" s="8" t="n">
        <x:v>2.0803131794875864</x:v>
      </x:c>
      <x:c r="O50" s="8" t="n">
        <x:v>2.0578131794875865</x:v>
      </x:c>
      <x:c r="P50" s="8" t="n">
        <x:v>2.035313179487586</x:v>
      </x:c>
      <x:c r="Q50" s="8" t="n">
        <x:v>2.012813179487586</x:v>
      </x:c>
      <x:c r="R50" s="8" t="n">
        <x:v>1.9828131794875863</x:v>
      </x:c>
      <x:c r="S50" s="8" t="n">
        <x:v>1.9528131794875865</x:v>
      </x:c>
    </x:row>
    <x:row r="51">
      <x:c r="B51" s="3"/>
      <x:c r="C51" s="3" t="str">
        <x:v>Downside</x:v>
      </x:c>
      <x:c r="D51" s="3"/>
      <x:c r="E51" s="3"/>
      <x:c r="F51" s="3"/>
      <x:c r="G51" s="3"/>
      <x:c r="H51" s="8" t="n">
        <x:v>2.0203131794875864</x:v>
      </x:c>
      <x:c r="I51" s="8" t="n">
        <x:v>2.012813179487586</x:v>
      </x:c>
      <x:c r="J51" s="8" t="n">
        <x:v>1.9228131794875862</x:v>
      </x:c>
      <x:c r="K51" s="8" t="n">
        <x:v>1.8328131794875864</x:v>
      </x:c>
      <x:c r="L51" s="8" t="n">
        <x:v>1.8178131794875863</x:v>
      </x:c>
      <x:c r="M51" s="8" t="n">
        <x:v>1.8028131794875863</x:v>
      </x:c>
      <x:c r="N51" s="8" t="n">
        <x:v>1.7803131794875864</x:v>
      </x:c>
      <x:c r="O51" s="8" t="n">
        <x:v>1.7578131794875862</x:v>
      </x:c>
      <x:c r="P51" s="8" t="n">
        <x:v>1.7353131794875862</x:v>
      </x:c>
      <x:c r="Q51" s="8" t="n">
        <x:v>1.7128131794875863</x:v>
      </x:c>
      <x:c r="R51" s="8" t="n">
        <x:v>1.6828131794875862</x:v>
      </x:c>
      <x:c r="S51" s="8" t="n">
        <x:v>1.6528131794875864</x:v>
      </x:c>
    </x:row>
    <x:row r="52">
      <x:c r="B52" s="9" t="str">
        <x:v>cash deposit share</x:v>
      </x:c>
      <x:c r="C52" s="9" t="str">
        <x:v>ACTIVE</x:v>
      </x:c>
      <x:c r="D52" s="9" t="str">
        <x:v>fraction</x:v>
      </x:c>
      <x:c r="E52" s="9" t="str">
        <x:v>August 2026 cash/deposits $19.6b and sweep $31.2b</x:v>
      </x:c>
      <x:c r="F52" s="9"/>
      <x:c r="G52" s="9"/>
      <x:c r="H52" s="9" t="n">
        <x:f>CHOOSE($D$4,H53,H54,H55)</x:f>
        <x:v>0.38582677165354334</x:v>
      </x:c>
      <x:c r="I52" s="9" t="n">
        <x:f>CHOOSE($D$4,I53,I54,I55)</x:f>
        <x:v>0.38582677165354334</x:v>
      </x:c>
      <x:c r="J52" s="9" t="n">
        <x:f>CHOOSE($D$4,J53,J54,J55)</x:f>
        <x:v>0.38582677165354334</x:v>
      </x:c>
      <x:c r="K52" s="9" t="n">
        <x:f>CHOOSE($D$4,K53,K54,K55)</x:f>
        <x:v>0.38582677165354334</x:v>
      </x:c>
      <x:c r="L52" s="9" t="n">
        <x:f>CHOOSE($D$4,L53,L54,L55)</x:f>
        <x:v>0.38582677165354334</x:v>
      </x:c>
      <x:c r="M52" s="9" t="n">
        <x:f>CHOOSE($D$4,M53,M54,M55)</x:f>
        <x:v>0.38582677165354334</x:v>
      </x:c>
      <x:c r="N52" s="9" t="n">
        <x:f>CHOOSE($D$4,N53,N54,N55)</x:f>
        <x:v>0.38582677165354334</x:v>
      </x:c>
      <x:c r="O52" s="9" t="n">
        <x:f>CHOOSE($D$4,O53,O54,O55)</x:f>
        <x:v>0.38582677165354334</x:v>
      </x:c>
      <x:c r="P52" s="9" t="n">
        <x:f>CHOOSE($D$4,P53,P54,P55)</x:f>
        <x:v>0.38582677165354334</x:v>
      </x:c>
      <x:c r="Q52" s="9" t="n">
        <x:f>CHOOSE($D$4,Q53,Q54,Q55)</x:f>
        <x:v>0.38582677165354334</x:v>
      </x:c>
      <x:c r="R52" s="9" t="n">
        <x:f>CHOOSE($D$4,R53,R54,R55)</x:f>
        <x:v>0.38582677165354334</x:v>
      </x:c>
      <x:c r="S52" s="9" t="n">
        <x:f>CHOOSE($D$4,S53,S54,S55)</x:f>
        <x:v>0.38582677165354334</x:v>
      </x:c>
    </x:row>
    <x:row r="53">
      <x:c r="B53" s="3"/>
      <x:c r="C53" s="3" t="str">
        <x:v>Base</x:v>
      </x:c>
      <x:c r="D53" s="3"/>
      <x:c r="E53" s="3"/>
      <x:c r="F53" s="3"/>
      <x:c r="G53" s="3"/>
      <x:c r="H53" s="8" t="n">
        <x:v>0.38582677165354334</x:v>
      </x:c>
      <x:c r="I53" s="8" t="n">
        <x:v>0.38582677165354334</x:v>
      </x:c>
      <x:c r="J53" s="8" t="n">
        <x:v>0.38582677165354334</x:v>
      </x:c>
      <x:c r="K53" s="8" t="n">
        <x:v>0.38582677165354334</x:v>
      </x:c>
      <x:c r="L53" s="8" t="n">
        <x:v>0.38582677165354334</x:v>
      </x:c>
      <x:c r="M53" s="8" t="n">
        <x:v>0.38582677165354334</x:v>
      </x:c>
      <x:c r="N53" s="8" t="n">
        <x:v>0.38582677165354334</x:v>
      </x:c>
      <x:c r="O53" s="8" t="n">
        <x:v>0.38582677165354334</x:v>
      </x:c>
      <x:c r="P53" s="8" t="n">
        <x:v>0.38582677165354334</x:v>
      </x:c>
      <x:c r="Q53" s="8" t="n">
        <x:v>0.38582677165354334</x:v>
      </x:c>
      <x:c r="R53" s="8" t="n">
        <x:v>0.38582677165354334</x:v>
      </x:c>
      <x:c r="S53" s="8" t="n">
        <x:v>0.38582677165354334</x:v>
      </x:c>
    </x:row>
    <x:row r="54">
      <x:c r="B54" s="3"/>
      <x:c r="C54" s="3" t="str">
        <x:v>Upside</x:v>
      </x:c>
      <x:c r="D54" s="3"/>
      <x:c r="E54" s="3"/>
      <x:c r="F54" s="3"/>
      <x:c r="G54" s="3"/>
      <x:c r="H54" s="8" t="n">
        <x:v>0.38582677165354334</x:v>
      </x:c>
      <x:c r="I54" s="8" t="n">
        <x:v>0.38582677165354334</x:v>
      </x:c>
      <x:c r="J54" s="8" t="n">
        <x:v>0.38582677165354334</x:v>
      </x:c>
      <x:c r="K54" s="8" t="n">
        <x:v>0.38582677165354334</x:v>
      </x:c>
      <x:c r="L54" s="8" t="n">
        <x:v>0.38582677165354334</x:v>
      </x:c>
      <x:c r="M54" s="8" t="n">
        <x:v>0.38582677165354334</x:v>
      </x:c>
      <x:c r="N54" s="8" t="n">
        <x:v>0.38582677165354334</x:v>
      </x:c>
      <x:c r="O54" s="8" t="n">
        <x:v>0.38582677165354334</x:v>
      </x:c>
      <x:c r="P54" s="8" t="n">
        <x:v>0.38582677165354334</x:v>
      </x:c>
      <x:c r="Q54" s="8" t="n">
        <x:v>0.38582677165354334</x:v>
      </x:c>
      <x:c r="R54" s="8" t="n">
        <x:v>0.38582677165354334</x:v>
      </x:c>
      <x:c r="S54" s="8" t="n">
        <x:v>0.38582677165354334</x:v>
      </x:c>
    </x:row>
    <x:row r="55">
      <x:c r="B55" s="3"/>
      <x:c r="C55" s="3" t="str">
        <x:v>Downside</x:v>
      </x:c>
      <x:c r="D55" s="3"/>
      <x:c r="E55" s="3"/>
      <x:c r="F55" s="3"/>
      <x:c r="G55" s="3"/>
      <x:c r="H55" s="8" t="n">
        <x:v>0.38582677165354334</x:v>
      </x:c>
      <x:c r="I55" s="8" t="n">
        <x:v>0.38582677165354334</x:v>
      </x:c>
      <x:c r="J55" s="8" t="n">
        <x:v>0.38582677165354334</x:v>
      </x:c>
      <x:c r="K55" s="8" t="n">
        <x:v>0.38582677165354334</x:v>
      </x:c>
      <x:c r="L55" s="8" t="n">
        <x:v>0.38582677165354334</x:v>
      </x:c>
      <x:c r="M55" s="8" t="n">
        <x:v>0.38582677165354334</x:v>
      </x:c>
      <x:c r="N55" s="8" t="n">
        <x:v>0.38582677165354334</x:v>
      </x:c>
      <x:c r="O55" s="8" t="n">
        <x:v>0.38582677165354334</x:v>
      </x:c>
      <x:c r="P55" s="8" t="n">
        <x:v>0.38582677165354334</x:v>
      </x:c>
      <x:c r="Q55" s="8" t="n">
        <x:v>0.38582677165354334</x:v>
      </x:c>
      <x:c r="R55" s="8" t="n">
        <x:v>0.38582677165354334</x:v>
      </x:c>
      <x:c r="S55" s="8" t="n">
        <x:v>0.38582677165354334</x:v>
      </x:c>
    </x:row>
    <x:row r="56">
      <x:c r="B56" s="9" t="str">
        <x:v>cash sweep rate pass through</x:v>
      </x:c>
      <x:c r="C56" s="9" t="str">
        <x:v>ACTIVE</x:v>
      </x:c>
      <x:c r="D56" s="9" t="str">
        <x:v>fraction</x:v>
      </x:c>
      <x:c r="E56" s="9" t="str">
        <x:v>2025Q2/2026Q2 matched balance/yield disclosures; cash-sweep definition break</x:v>
      </x:c>
      <x:c r="F56" s="9"/>
      <x:c r="G56" s="9"/>
      <x:c r="H56" s="9" t="n">
        <x:f>CHOOSE($D$4,H57,H58,H59)</x:f>
        <x:v>0</x:v>
      </x:c>
      <x:c r="I56" s="9" t="n">
        <x:f>CHOOSE($D$4,I57,I58,I59)</x:f>
        <x:v>0</x:v>
      </x:c>
      <x:c r="J56" s="9" t="n">
        <x:f>CHOOSE($D$4,J57,J58,J59)</x:f>
        <x:v>0</x:v>
      </x:c>
      <x:c r="K56" s="9" t="n">
        <x:f>CHOOSE($D$4,K57,K58,K59)</x:f>
        <x:v>0</x:v>
      </x:c>
      <x:c r="L56" s="9" t="n">
        <x:f>CHOOSE($D$4,L57,L58,L59)</x:f>
        <x:v>0</x:v>
      </x:c>
      <x:c r="M56" s="9" t="n">
        <x:f>CHOOSE($D$4,M57,M58,M59)</x:f>
        <x:v>0</x:v>
      </x:c>
      <x:c r="N56" s="9" t="n">
        <x:f>CHOOSE($D$4,N57,N58,N59)</x:f>
        <x:v>0</x:v>
      </x:c>
      <x:c r="O56" s="9" t="n">
        <x:f>CHOOSE($D$4,O57,O58,O59)</x:f>
        <x:v>0</x:v>
      </x:c>
      <x:c r="P56" s="9" t="n">
        <x:f>CHOOSE($D$4,P57,P58,P59)</x:f>
        <x:v>0</x:v>
      </x:c>
      <x:c r="Q56" s="9" t="n">
        <x:f>CHOOSE($D$4,Q57,Q58,Q59)</x:f>
        <x:v>0</x:v>
      </x:c>
      <x:c r="R56" s="9" t="n">
        <x:f>CHOOSE($D$4,R57,R58,R59)</x:f>
        <x:v>0</x:v>
      </x:c>
      <x:c r="S56" s="9" t="n">
        <x:f>CHOOSE($D$4,S57,S58,S59)</x:f>
        <x:v>0</x:v>
      </x:c>
    </x:row>
    <x:row r="57">
      <x:c r="B57" s="3"/>
      <x:c r="C57" s="3" t="str">
        <x:v>Base</x:v>
      </x:c>
      <x:c r="D57" s="3"/>
      <x:c r="E57" s="3"/>
      <x:c r="F57" s="3"/>
      <x:c r="G57" s="3"/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0</x:v>
      </x:c>
    </x:row>
    <x:row r="58">
      <x:c r="B58" s="3"/>
      <x:c r="C58" s="3" t="str">
        <x:v>Upside</x:v>
      </x:c>
      <x:c r="D58" s="3"/>
      <x:c r="E58" s="3"/>
      <x:c r="F58" s="3"/>
      <x:c r="G58" s="3"/>
      <x:c r="H58" s="8" t="n">
        <x:v>0</x:v>
      </x:c>
      <x:c r="I58" s="8" t="n">
        <x:v>0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</x:row>
    <x:row r="59">
      <x:c r="B59" s="3"/>
      <x:c r="C59" s="3" t="str">
        <x:v>Downside</x:v>
      </x:c>
      <x:c r="D59" s="3"/>
      <x:c r="E59" s="3"/>
      <x:c r="F59" s="3"/>
      <x:c r="G59" s="3"/>
      <x:c r="H59" s="8" t="n">
        <x:v>0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</x:row>
    <x:row r="60">
      <x:c r="B60" s="9" t="str">
        <x:v>cash sweep realized yield pct</x:v>
      </x:c>
      <x:c r="C60" s="9" t="str">
        <x:v>ACTIVE</x:v>
      </x:c>
      <x:c r="D60" s="9" t="str">
        <x:v>percent</x:v>
      </x:c>
      <x:c r="E60" s="9" t="str">
        <x:v>2026Q2 annualized realized cash_sweep yield 0.585%</x:v>
      </x:c>
      <x:c r="F60" s="9"/>
      <x:c r="G60" s="9"/>
      <x:c r="H60" s="9" t="n">
        <x:f>CHOOSE($D$4,H61,H62,H63)</x:f>
        <x:v>0.5852962169878658</x:v>
      </x:c>
      <x:c r="I60" s="9" t="n">
        <x:f>CHOOSE($D$4,I61,I62,I63)</x:f>
        <x:v>0.5852962169878658</x:v>
      </x:c>
      <x:c r="J60" s="9" t="n">
        <x:f>CHOOSE($D$4,J61,J62,J63)</x:f>
        <x:v>0.5852962169878658</x:v>
      </x:c>
      <x:c r="K60" s="9" t="n">
        <x:f>CHOOSE($D$4,K61,K62,K63)</x:f>
        <x:v>0.5852962169878658</x:v>
      </x:c>
      <x:c r="L60" s="9" t="n">
        <x:f>CHOOSE($D$4,L61,L62,L63)</x:f>
        <x:v>0.5852962169878658</x:v>
      </x:c>
      <x:c r="M60" s="9" t="n">
        <x:f>CHOOSE($D$4,M61,M62,M63)</x:f>
        <x:v>0.5852962169878658</x:v>
      </x:c>
      <x:c r="N60" s="9" t="n">
        <x:f>CHOOSE($D$4,N61,N62,N63)</x:f>
        <x:v>0.5852962169878658</x:v>
      </x:c>
      <x:c r="O60" s="9" t="n">
        <x:f>CHOOSE($D$4,O61,O62,O63)</x:f>
        <x:v>0.5852962169878658</x:v>
      </x:c>
      <x:c r="P60" s="9" t="n">
        <x:f>CHOOSE($D$4,P61,P62,P63)</x:f>
        <x:v>0.5852962169878658</x:v>
      </x:c>
      <x:c r="Q60" s="9" t="n">
        <x:f>CHOOSE($D$4,Q61,Q62,Q63)</x:f>
        <x:v>0.5852962169878658</x:v>
      </x:c>
      <x:c r="R60" s="9" t="n">
        <x:f>CHOOSE($D$4,R61,R62,R63)</x:f>
        <x:v>0.5852962169878658</x:v>
      </x:c>
      <x:c r="S60" s="9" t="n">
        <x:f>CHOOSE($D$4,S61,S62,S63)</x:f>
        <x:v>0.5852962169878658</x:v>
      </x:c>
    </x:row>
    <x:row r="61">
      <x:c r="B61" s="3"/>
      <x:c r="C61" s="3" t="str">
        <x:v>Base</x:v>
      </x:c>
      <x:c r="D61" s="3"/>
      <x:c r="E61" s="3"/>
      <x:c r="F61" s="3"/>
      <x:c r="G61" s="3"/>
      <x:c r="H61" s="8" t="n">
        <x:v>0.5852962169878658</x:v>
      </x:c>
      <x:c r="I61" s="8" t="n">
        <x:v>0.5852962169878658</x:v>
      </x:c>
      <x:c r="J61" s="8" t="n">
        <x:v>0.5852962169878658</x:v>
      </x:c>
      <x:c r="K61" s="8" t="n">
        <x:v>0.5852962169878658</x:v>
      </x:c>
      <x:c r="L61" s="8" t="n">
        <x:v>0.5852962169878658</x:v>
      </x:c>
      <x:c r="M61" s="8" t="n">
        <x:v>0.5852962169878658</x:v>
      </x:c>
      <x:c r="N61" s="8" t="n">
        <x:v>0.5852962169878658</x:v>
      </x:c>
      <x:c r="O61" s="8" t="n">
        <x:v>0.5852962169878658</x:v>
      </x:c>
      <x:c r="P61" s="8" t="n">
        <x:v>0.5852962169878658</x:v>
      </x:c>
      <x:c r="Q61" s="8" t="n">
        <x:v>0.5852962169878658</x:v>
      </x:c>
      <x:c r="R61" s="8" t="n">
        <x:v>0.5852962169878658</x:v>
      </x:c>
      <x:c r="S61" s="8" t="n">
        <x:v>0.5852962169878658</x:v>
      </x:c>
    </x:row>
    <x:row r="62">
      <x:c r="B62" s="3"/>
      <x:c r="C62" s="3" t="str">
        <x:v>Upside</x:v>
      </x:c>
      <x:c r="D62" s="3"/>
      <x:c r="E62" s="3"/>
      <x:c r="F62" s="3"/>
      <x:c r="G62" s="3"/>
      <x:c r="H62" s="8" t="n">
        <x:v>0.5852962169878658</x:v>
      </x:c>
      <x:c r="I62" s="8" t="n">
        <x:v>0.5852962169878658</x:v>
      </x:c>
      <x:c r="J62" s="8" t="n">
        <x:v>0.5852962169878658</x:v>
      </x:c>
      <x:c r="K62" s="8" t="n">
        <x:v>0.5852962169878658</x:v>
      </x:c>
      <x:c r="L62" s="8" t="n">
        <x:v>0.5852962169878658</x:v>
      </x:c>
      <x:c r="M62" s="8" t="n">
        <x:v>0.5852962169878658</x:v>
      </x:c>
      <x:c r="N62" s="8" t="n">
        <x:v>0.5852962169878658</x:v>
      </x:c>
      <x:c r="O62" s="8" t="n">
        <x:v>0.5852962169878658</x:v>
      </x:c>
      <x:c r="P62" s="8" t="n">
        <x:v>0.5852962169878658</x:v>
      </x:c>
      <x:c r="Q62" s="8" t="n">
        <x:v>0.5852962169878658</x:v>
      </x:c>
      <x:c r="R62" s="8" t="n">
        <x:v>0.5852962169878658</x:v>
      </x:c>
      <x:c r="S62" s="8" t="n">
        <x:v>0.5852962169878658</x:v>
      </x:c>
    </x:row>
    <x:row r="63">
      <x:c r="B63" s="3"/>
      <x:c r="C63" s="3" t="str">
        <x:v>Downside</x:v>
      </x:c>
      <x:c r="D63" s="3"/>
      <x:c r="E63" s="3"/>
      <x:c r="F63" s="3"/>
      <x:c r="G63" s="3"/>
      <x:c r="H63" s="8" t="n">
        <x:v>0.5852962169878658</x:v>
      </x:c>
      <x:c r="I63" s="8" t="n">
        <x:v>0.5852962169878658</x:v>
      </x:c>
      <x:c r="J63" s="8" t="n">
        <x:v>0.5852962169878658</x:v>
      </x:c>
      <x:c r="K63" s="8" t="n">
        <x:v>0.5852962169878658</x:v>
      </x:c>
      <x:c r="L63" s="8" t="n">
        <x:v>0.5852962169878658</x:v>
      </x:c>
      <x:c r="M63" s="8" t="n">
        <x:v>0.5852962169878658</x:v>
      </x:c>
      <x:c r="N63" s="8" t="n">
        <x:v>0.5852962169878658</x:v>
      </x:c>
      <x:c r="O63" s="8" t="n">
        <x:v>0.5852962169878658</x:v>
      </x:c>
      <x:c r="P63" s="8" t="n">
        <x:v>0.5852962169878658</x:v>
      </x:c>
      <x:c r="Q63" s="8" t="n">
        <x:v>0.5852962169878658</x:v>
      </x:c>
      <x:c r="R63" s="8" t="n">
        <x:v>0.5852962169878658</x:v>
      </x:c>
      <x:c r="S63" s="8" t="n">
        <x:v>0.5852962169878658</x:v>
      </x:c>
    </x:row>
    <x:row r="64">
      <x:c r="B64" s="9" t="str">
        <x:v>credit balance growth pct</x:v>
      </x:c>
      <x:c r="C64" s="9" t="str">
        <x:v>ACTIVE</x:v>
      </x:c>
      <x:c r="D64" s="9" t="str">
        <x:v>fraction</x:v>
      </x:c>
      <x:c r="E64" s="9" t="str">
        <x:v>2026Q1–Q2 disclosed average credit balances $1.084b/$1.347b</x:v>
      </x:c>
      <x:c r="F64" s="9"/>
      <x:c r="G64" s="9"/>
      <x:c r="H64" s="9" t="n">
        <x:f>CHOOSE($D$4,H65,H66,H67)</x:f>
        <x:v>0.15</x:v>
      </x:c>
      <x:c r="I64" s="9" t="n">
        <x:f>CHOOSE($D$4,I65,I66,I67)</x:f>
        <x:v>0.13999999999999999</x:v>
      </x:c>
      <x:c r="J64" s="9" t="n">
        <x:f>CHOOSE($D$4,J65,J66,J67)</x:f>
        <x:v>0.13</x:v>
      </x:c>
      <x:c r="K64" s="9" t="n">
        <x:f>CHOOSE($D$4,K65,K66,K67)</x:f>
        <x:v>0.12</x:v>
      </x:c>
      <x:c r="L64" s="9" t="n">
        <x:f>CHOOSE($D$4,L65,L66,L67)</x:f>
        <x:v>0.10999999999999999</x:v>
      </x:c>
      <x:c r="M64" s="9" t="n">
        <x:f>CHOOSE($D$4,M65,M66,M67)</x:f>
        <x:v>0.09999999999999999</x:v>
      </x:c>
      <x:c r="N64" s="9" t="n">
        <x:f>CHOOSE($D$4,N65,N66,N67)</x:f>
        <x:v>0.09</x:v>
      </x:c>
      <x:c r="O64" s="9" t="n">
        <x:f>CHOOSE($D$4,O65,O66,O67)</x:f>
        <x:v>0.07999999999999999</x:v>
      </x:c>
      <x:c r="P64" s="9" t="n">
        <x:f>CHOOSE($D$4,P65,P66,P67)</x:f>
        <x:v>0.06999999999999999</x:v>
      </x:c>
      <x:c r="Q64" s="9" t="n">
        <x:f>CHOOSE($D$4,Q65,Q66,Q67)</x:f>
        <x:v>0.06</x:v>
      </x:c>
      <x:c r="R64" s="9" t="n">
        <x:f>CHOOSE($D$4,R65,R66,R67)</x:f>
        <x:v>0.05</x:v>
      </x:c>
      <x:c r="S64" s="9" t="n">
        <x:f>CHOOSE($D$4,S65,S66,S67)</x:f>
        <x:v>0.05</x:v>
      </x:c>
    </x:row>
    <x:row r="65">
      <x:c r="B65" s="3"/>
      <x:c r="C65" s="3" t="str">
        <x:v>Base</x:v>
      </x:c>
      <x:c r="D65" s="3"/>
      <x:c r="E65" s="3"/>
      <x:c r="F65" s="3"/>
      <x:c r="G65" s="3"/>
      <x:c r="H65" s="8" t="n">
        <x:v>0.15</x:v>
      </x:c>
      <x:c r="I65" s="8" t="n">
        <x:v>0.13999999999999999</x:v>
      </x:c>
      <x:c r="J65" s="8" t="n">
        <x:v>0.13</x:v>
      </x:c>
      <x:c r="K65" s="8" t="n">
        <x:v>0.12</x:v>
      </x:c>
      <x:c r="L65" s="8" t="n">
        <x:v>0.10999999999999999</x:v>
      </x:c>
      <x:c r="M65" s="8" t="n">
        <x:v>0.09999999999999999</x:v>
      </x:c>
      <x:c r="N65" s="8" t="n">
        <x:v>0.09</x:v>
      </x:c>
      <x:c r="O65" s="8" t="n">
        <x:v>0.07999999999999999</x:v>
      </x:c>
      <x:c r="P65" s="8" t="n">
        <x:v>0.06999999999999999</x:v>
      </x:c>
      <x:c r="Q65" s="8" t="n">
        <x:v>0.06</x:v>
      </x:c>
      <x:c r="R65" s="8" t="n">
        <x:v>0.05</x:v>
      </x:c>
      <x:c r="S65" s="8" t="n">
        <x:v>0.05</x:v>
      </x:c>
    </x:row>
    <x:row r="66">
      <x:c r="B66" s="3"/>
      <x:c r="C66" s="3" t="str">
        <x:v>Upside</x:v>
      </x:c>
      <x:c r="D66" s="3"/>
      <x:c r="E66" s="3"/>
      <x:c r="F66" s="3"/>
      <x:c r="G66" s="3"/>
      <x:c r="H66" s="8" t="n">
        <x:v>0.2</x:v>
      </x:c>
      <x:c r="I66" s="8" t="n">
        <x:v>0.19</x:v>
      </x:c>
      <x:c r="J66" s="8" t="n">
        <x:v>0.18000000000000002</x:v>
      </x:c>
      <x:c r="K66" s="8" t="n">
        <x:v>0.17</x:v>
      </x:c>
      <x:c r="L66" s="8" t="n">
        <x:v>0.16</x:v>
      </x:c>
      <x:c r="M66" s="8" t="n">
        <x:v>0.15000000000000002</x:v>
      </x:c>
      <x:c r="N66" s="8" t="n">
        <x:v>0.14</x:v>
      </x:c>
      <x:c r="O66" s="8" t="n">
        <x:v>0.13</x:v>
      </x:c>
      <x:c r="P66" s="8" t="n">
        <x:v>0.12000000000000001</x:v>
      </x:c>
      <x:c r="Q66" s="8" t="n">
        <x:v>0.11000000000000001</x:v>
      </x:c>
      <x:c r="R66" s="8" t="n">
        <x:v>0.1</x:v>
      </x:c>
      <x:c r="S66" s="8" t="n">
        <x:v>0.09000000000000001</x:v>
      </x:c>
    </x:row>
    <x:row r="67">
      <x:c r="B67" s="3"/>
      <x:c r="C67" s="3" t="str">
        <x:v>Downside</x:v>
      </x:c>
      <x:c r="D67" s="3"/>
      <x:c r="E67" s="3"/>
      <x:c r="F67" s="3"/>
      <x:c r="G67" s="3"/>
      <x:c r="H67" s="8" t="n">
        <x:v>0.08</x:v>
      </x:c>
      <x:c r="I67" s="8" t="n">
        <x:v>0.07</x:v>
      </x:c>
      <x:c r="J67" s="8" t="n">
        <x:v>0.06</x:v>
      </x:c>
      <x:c r="K67" s="8" t="n">
        <x:v>0.05</x:v>
      </x:c>
      <x:c r="L67" s="8" t="n">
        <x:v>0.04</x:v>
      </x:c>
      <x:c r="M67" s="8" t="n">
        <x:v>0.03</x:v>
      </x:c>
      <x:c r="N67" s="8" t="n">
        <x:v>0.03</x:v>
      </x:c>
      <x:c r="O67" s="8" t="n">
        <x:v>0.03</x:v>
      </x:c>
      <x:c r="P67" s="8" t="n">
        <x:v>0.03</x:v>
      </x:c>
      <x:c r="Q67" s="8" t="n">
        <x:v>0.03</x:v>
      </x:c>
      <x:c r="R67" s="8" t="n">
        <x:v>0.03</x:v>
      </x:c>
      <x:c r="S67" s="8" t="n">
        <x:v>0.03</x:v>
      </x:c>
    </x:row>
    <x:row r="68">
      <x:c r="B68" s="9" t="str">
        <x:v>credit card rate pass through</x:v>
      </x:c>
      <x:c r="C68" s="9" t="str">
        <x:v>ACTIVE</x:v>
      </x:c>
      <x:c r="D68" s="9" t="str">
        <x:v>fraction</x:v>
      </x:c>
      <x:c r="E68" s="9" t="str">
        <x:v>2025Q2/2026Q2 matched balance/yield disclosures; cash-sweep definition break</x:v>
      </x:c>
      <x:c r="F68" s="9"/>
      <x:c r="G68" s="9"/>
      <x:c r="H68" s="9" t="n">
        <x:f>CHOOSE($D$4,H69,H70,H71)</x:f>
        <x:v>0</x:v>
      </x:c>
      <x:c r="I68" s="9" t="n">
        <x:f>CHOOSE($D$4,I69,I70,I71)</x:f>
        <x:v>0</x:v>
      </x:c>
      <x:c r="J68" s="9" t="n">
        <x:f>CHOOSE($D$4,J69,J70,J71)</x:f>
        <x:v>0</x:v>
      </x:c>
      <x:c r="K68" s="9" t="n">
        <x:f>CHOOSE($D$4,K69,K70,K71)</x:f>
        <x:v>0</x:v>
      </x:c>
      <x:c r="L68" s="9" t="n">
        <x:f>CHOOSE($D$4,L69,L70,L71)</x:f>
        <x:v>0</x:v>
      </x:c>
      <x:c r="M68" s="9" t="n">
        <x:f>CHOOSE($D$4,M69,M70,M71)</x:f>
        <x:v>0</x:v>
      </x:c>
      <x:c r="N68" s="9" t="n">
        <x:f>CHOOSE($D$4,N69,N70,N71)</x:f>
        <x:v>0</x:v>
      </x:c>
      <x:c r="O68" s="9" t="n">
        <x:f>CHOOSE($D$4,O69,O70,O71)</x:f>
        <x:v>0</x:v>
      </x:c>
      <x:c r="P68" s="9" t="n">
        <x:f>CHOOSE($D$4,P69,P70,P71)</x:f>
        <x:v>0</x:v>
      </x:c>
      <x:c r="Q68" s="9" t="n">
        <x:f>CHOOSE($D$4,Q69,Q70,Q71)</x:f>
        <x:v>0</x:v>
      </x:c>
      <x:c r="R68" s="9" t="n">
        <x:f>CHOOSE($D$4,R69,R70,R71)</x:f>
        <x:v>0</x:v>
      </x:c>
      <x:c r="S68" s="9" t="n">
        <x:f>CHOOSE($D$4,S69,S70,S71)</x:f>
        <x:v>0</x:v>
      </x:c>
    </x:row>
    <x:row r="69">
      <x:c r="B69" s="3"/>
      <x:c r="C69" s="3" t="str">
        <x:v>Base</x:v>
      </x:c>
      <x:c r="D69" s="3"/>
      <x:c r="E69" s="3"/>
      <x:c r="F69" s="3"/>
      <x:c r="G69" s="3"/>
      <x:c r="H69" s="8" t="n">
        <x:v>0</x:v>
      </x:c>
      <x:c r="I69" s="8" t="n">
        <x:v>0</x:v>
      </x:c>
      <x:c r="J69" s="8" t="n">
        <x:v>0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</x:row>
    <x:row r="70">
      <x:c r="B70" s="3"/>
      <x:c r="C70" s="3" t="str">
        <x:v>Upside</x:v>
      </x:c>
      <x:c r="D70" s="3"/>
      <x:c r="E70" s="3"/>
      <x:c r="F70" s="3"/>
      <x:c r="G70" s="3"/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 t="n">
        <x:v>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</x:row>
    <x:row r="71">
      <x:c r="B71" s="3"/>
      <x:c r="C71" s="3" t="str">
        <x:v>Downside</x:v>
      </x:c>
      <x:c r="D71" s="3"/>
      <x:c r="E71" s="3"/>
      <x:c r="F71" s="3"/>
      <x:c r="G71" s="3"/>
      <x:c r="H71" s="8" t="n">
        <x:v>0</x:v>
      </x:c>
      <x:c r="I71" s="8" t="n">
        <x:v>0</x:v>
      </x:c>
      <x:c r="J71" s="8" t="n">
        <x:v>0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0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</x:row>
    <x:row r="72">
      <x:c r="B72" s="9" t="str">
        <x:v>credit card realized yield pct</x:v>
      </x:c>
      <x:c r="C72" s="9" t="str">
        <x:v>ACTIVE</x:v>
      </x:c>
      <x:c r="D72" s="9" t="str">
        <x:v>percent</x:v>
      </x:c>
      <x:c r="E72" s="9" t="str">
        <x:v>2026Q2 annualized realized credit_card yield 11.878%</x:v>
      </x:c>
      <x:c r="F72" s="9"/>
      <x:c r="G72" s="9"/>
      <x:c r="H72" s="9" t="n">
        <x:f>CHOOSE($D$4,H73,H74,H75)</x:f>
        <x:v>11.878247958426131</x:v>
      </x:c>
      <x:c r="I72" s="9" t="n">
        <x:f>CHOOSE($D$4,I73,I74,I75)</x:f>
        <x:v>11.878247958426131</x:v>
      </x:c>
      <x:c r="J72" s="9" t="n">
        <x:f>CHOOSE($D$4,J73,J74,J75)</x:f>
        <x:v>11.878247958426131</x:v>
      </x:c>
      <x:c r="K72" s="9" t="n">
        <x:f>CHOOSE($D$4,K73,K74,K75)</x:f>
        <x:v>11.878247958426131</x:v>
      </x:c>
      <x:c r="L72" s="9" t="n">
        <x:f>CHOOSE($D$4,L73,L74,L75)</x:f>
        <x:v>11.878247958426131</x:v>
      </x:c>
      <x:c r="M72" s="9" t="n">
        <x:f>CHOOSE($D$4,M73,M74,M75)</x:f>
        <x:v>11.878247958426131</x:v>
      </x:c>
      <x:c r="N72" s="9" t="n">
        <x:f>CHOOSE($D$4,N73,N74,N75)</x:f>
        <x:v>11.878247958426131</x:v>
      </x:c>
      <x:c r="O72" s="9" t="n">
        <x:f>CHOOSE($D$4,O73,O74,O75)</x:f>
        <x:v>11.878247958426131</x:v>
      </x:c>
      <x:c r="P72" s="9" t="n">
        <x:f>CHOOSE($D$4,P73,P74,P75)</x:f>
        <x:v>11.878247958426131</x:v>
      </x:c>
      <x:c r="Q72" s="9" t="n">
        <x:f>CHOOSE($D$4,Q73,Q74,Q75)</x:f>
        <x:v>11.878247958426131</x:v>
      </x:c>
      <x:c r="R72" s="9" t="n">
        <x:f>CHOOSE($D$4,R73,R74,R75)</x:f>
        <x:v>11.878247958426131</x:v>
      </x:c>
      <x:c r="S72" s="9" t="n">
        <x:f>CHOOSE($D$4,S73,S74,S75)</x:f>
        <x:v>11.878247958426131</x:v>
      </x:c>
    </x:row>
    <x:row r="73">
      <x:c r="B73" s="3"/>
      <x:c r="C73" s="3" t="str">
        <x:v>Base</x:v>
      </x:c>
      <x:c r="D73" s="3"/>
      <x:c r="E73" s="3"/>
      <x:c r="F73" s="3"/>
      <x:c r="G73" s="3"/>
      <x:c r="H73" s="8" t="n">
        <x:v>11.878247958426131</x:v>
      </x:c>
      <x:c r="I73" s="8" t="n">
        <x:v>11.878247958426131</x:v>
      </x:c>
      <x:c r="J73" s="8" t="n">
        <x:v>11.878247958426131</x:v>
      </x:c>
      <x:c r="K73" s="8" t="n">
        <x:v>11.878247958426131</x:v>
      </x:c>
      <x:c r="L73" s="8" t="n">
        <x:v>11.878247958426131</x:v>
      </x:c>
      <x:c r="M73" s="8" t="n">
        <x:v>11.878247958426131</x:v>
      </x:c>
      <x:c r="N73" s="8" t="n">
        <x:v>11.878247958426131</x:v>
      </x:c>
      <x:c r="O73" s="8" t="n">
        <x:v>11.878247958426131</x:v>
      </x:c>
      <x:c r="P73" s="8" t="n">
        <x:v>11.878247958426131</x:v>
      </x:c>
      <x:c r="Q73" s="8" t="n">
        <x:v>11.878247958426131</x:v>
      </x:c>
      <x:c r="R73" s="8" t="n">
        <x:v>11.878247958426131</x:v>
      </x:c>
      <x:c r="S73" s="8" t="n">
        <x:v>11.878247958426131</x:v>
      </x:c>
    </x:row>
    <x:row r="74">
      <x:c r="B74" s="3"/>
      <x:c r="C74" s="3" t="str">
        <x:v>Upside</x:v>
      </x:c>
      <x:c r="D74" s="3"/>
      <x:c r="E74" s="3"/>
      <x:c r="F74" s="3"/>
      <x:c r="G74" s="3"/>
      <x:c r="H74" s="8" t="n">
        <x:v>11.878247958426131</x:v>
      </x:c>
      <x:c r="I74" s="8" t="n">
        <x:v>11.878247958426131</x:v>
      </x:c>
      <x:c r="J74" s="8" t="n">
        <x:v>11.878247958426131</x:v>
      </x:c>
      <x:c r="K74" s="8" t="n">
        <x:v>11.878247958426131</x:v>
      </x:c>
      <x:c r="L74" s="8" t="n">
        <x:v>11.878247958426131</x:v>
      </x:c>
      <x:c r="M74" s="8" t="n">
        <x:v>11.878247958426131</x:v>
      </x:c>
      <x:c r="N74" s="8" t="n">
        <x:v>11.878247958426131</x:v>
      </x:c>
      <x:c r="O74" s="8" t="n">
        <x:v>11.878247958426131</x:v>
      </x:c>
      <x:c r="P74" s="8" t="n">
        <x:v>11.878247958426131</x:v>
      </x:c>
      <x:c r="Q74" s="8" t="n">
        <x:v>11.878247958426131</x:v>
      </x:c>
      <x:c r="R74" s="8" t="n">
        <x:v>11.878247958426131</x:v>
      </x:c>
      <x:c r="S74" s="8" t="n">
        <x:v>11.878247958426131</x:v>
      </x:c>
    </x:row>
    <x:row r="75">
      <x:c r="B75" s="3"/>
      <x:c r="C75" s="3" t="str">
        <x:v>Downside</x:v>
      </x:c>
      <x:c r="D75" s="3"/>
      <x:c r="E75" s="3"/>
      <x:c r="F75" s="3"/>
      <x:c r="G75" s="3"/>
      <x:c r="H75" s="8" t="n">
        <x:v>11.878247958426131</x:v>
      </x:c>
      <x:c r="I75" s="8" t="n">
        <x:v>11.878247958426131</x:v>
      </x:c>
      <x:c r="J75" s="8" t="n">
        <x:v>11.878247958426131</x:v>
      </x:c>
      <x:c r="K75" s="8" t="n">
        <x:v>11.878247958426131</x:v>
      </x:c>
      <x:c r="L75" s="8" t="n">
        <x:v>11.878247958426131</x:v>
      </x:c>
      <x:c r="M75" s="8" t="n">
        <x:v>11.878247958426131</x:v>
      </x:c>
      <x:c r="N75" s="8" t="n">
        <x:v>11.878247958426131</x:v>
      </x:c>
      <x:c r="O75" s="8" t="n">
        <x:v>11.878247958426131</x:v>
      </x:c>
      <x:c r="P75" s="8" t="n">
        <x:v>11.878247958426131</x:v>
      </x:c>
      <x:c r="Q75" s="8" t="n">
        <x:v>11.878247958426131</x:v>
      </x:c>
      <x:c r="R75" s="8" t="n">
        <x:v>11.878247958426131</x:v>
      </x:c>
      <x:c r="S75" s="8" t="n">
        <x:v>11.878247958426131</x:v>
      </x:c>
    </x:row>
    <x:row r="76">
      <x:c r="B76" s="9" t="str">
        <x:v>credit provision pct</x:v>
      </x:c>
      <x:c r="C76" s="9" t="str">
        <x:v>ACTIVE</x:v>
      </x:c>
      <x:c r="D76" s="9" t="str">
        <x:v>fraction per quarter</x:v>
      </x:c>
      <x:c r="E76" s="9" t="str">
        <x:v>2026Q1/Q2 credit provision $36m/$56m vs credit balances</x:v>
      </x:c>
      <x:c r="F76" s="9"/>
      <x:c r="G76" s="9"/>
      <x:c r="H76" s="9" t="n">
        <x:f>CHOOSE($D$4,H77,H78,H79)</x:f>
        <x:v>0.0375</x:v>
      </x:c>
      <x:c r="I76" s="9" t="n">
        <x:f>CHOOSE($D$4,I77,I78,I79)</x:f>
        <x:v>0.0375</x:v>
      </x:c>
      <x:c r="J76" s="9" t="n">
        <x:f>CHOOSE($D$4,J77,J78,J79)</x:f>
        <x:v>0.0375</x:v>
      </x:c>
      <x:c r="K76" s="9" t="n">
        <x:f>CHOOSE($D$4,K77,K78,K79)</x:f>
        <x:v>0.0375</x:v>
      </x:c>
      <x:c r="L76" s="9" t="n">
        <x:f>CHOOSE($D$4,L77,L78,L79)</x:f>
        <x:v>0.0375</x:v>
      </x:c>
      <x:c r="M76" s="9" t="n">
        <x:f>CHOOSE($D$4,M77,M78,M79)</x:f>
        <x:v>0.0375</x:v>
      </x:c>
      <x:c r="N76" s="9" t="n">
        <x:f>CHOOSE($D$4,N77,N78,N79)</x:f>
        <x:v>0.0375</x:v>
      </x:c>
      <x:c r="O76" s="9" t="n">
        <x:f>CHOOSE($D$4,O77,O78,O79)</x:f>
        <x:v>0.0375</x:v>
      </x:c>
      <x:c r="P76" s="9" t="n">
        <x:f>CHOOSE($D$4,P77,P78,P79)</x:f>
        <x:v>0.0375</x:v>
      </x:c>
      <x:c r="Q76" s="9" t="n">
        <x:f>CHOOSE($D$4,Q77,Q78,Q79)</x:f>
        <x:v>0.0375</x:v>
      </x:c>
      <x:c r="R76" s="9" t="n">
        <x:f>CHOOSE($D$4,R77,R78,R79)</x:f>
        <x:v>0.0375</x:v>
      </x:c>
      <x:c r="S76" s="9" t="n">
        <x:f>CHOOSE($D$4,S77,S78,S79)</x:f>
        <x:v>0.0375</x:v>
      </x:c>
    </x:row>
    <x:row r="77">
      <x:c r="B77" s="3"/>
      <x:c r="C77" s="3" t="str">
        <x:v>Base</x:v>
      </x:c>
      <x:c r="D77" s="3"/>
      <x:c r="E77" s="3"/>
      <x:c r="F77" s="3"/>
      <x:c r="G77" s="3"/>
      <x:c r="H77" s="8" t="n">
        <x:v>0.0375</x:v>
      </x:c>
      <x:c r="I77" s="8" t="n">
        <x:v>0.0375</x:v>
      </x:c>
      <x:c r="J77" s="8" t="n">
        <x:v>0.0375</x:v>
      </x:c>
      <x:c r="K77" s="8" t="n">
        <x:v>0.0375</x:v>
      </x:c>
      <x:c r="L77" s="8" t="n">
        <x:v>0.0375</x:v>
      </x:c>
      <x:c r="M77" s="8" t="n">
        <x:v>0.0375</x:v>
      </x:c>
      <x:c r="N77" s="8" t="n">
        <x:v>0.0375</x:v>
      </x:c>
      <x:c r="O77" s="8" t="n">
        <x:v>0.0375</x:v>
      </x:c>
      <x:c r="P77" s="8" t="n">
        <x:v>0.0375</x:v>
      </x:c>
      <x:c r="Q77" s="8" t="n">
        <x:v>0.0375</x:v>
      </x:c>
      <x:c r="R77" s="8" t="n">
        <x:v>0.0375</x:v>
      </x:c>
      <x:c r="S77" s="8" t="n">
        <x:v>0.0375</x:v>
      </x:c>
    </x:row>
    <x:row r="78">
      <x:c r="B78" s="3"/>
      <x:c r="C78" s="3" t="str">
        <x:v>Upside</x:v>
      </x:c>
      <x:c r="D78" s="3"/>
      <x:c r="E78" s="3"/>
      <x:c r="F78" s="3"/>
      <x:c r="G78" s="3"/>
      <x:c r="H78" s="8" t="n">
        <x:v>0.033</x:v>
      </x:c>
      <x:c r="I78" s="8" t="n">
        <x:v>0.033</x:v>
      </x:c>
      <x:c r="J78" s="8" t="n">
        <x:v>0.033</x:v>
      </x:c>
      <x:c r="K78" s="8" t="n">
        <x:v>0.033</x:v>
      </x:c>
      <x:c r="L78" s="8" t="n">
        <x:v>0.033</x:v>
      </x:c>
      <x:c r="M78" s="8" t="n">
        <x:v>0.033</x:v>
      </x:c>
      <x:c r="N78" s="8" t="n">
        <x:v>0.033</x:v>
      </x:c>
      <x:c r="O78" s="8" t="n">
        <x:v>0.033</x:v>
      </x:c>
      <x:c r="P78" s="8" t="n">
        <x:v>0.033</x:v>
      </x:c>
      <x:c r="Q78" s="8" t="n">
        <x:v>0.033</x:v>
      </x:c>
      <x:c r="R78" s="8" t="n">
        <x:v>0.033</x:v>
      </x:c>
      <x:c r="S78" s="8" t="n">
        <x:v>0.033</x:v>
      </x:c>
    </x:row>
    <x:row r="79">
      <x:c r="B79" s="3"/>
      <x:c r="C79" s="3" t="str">
        <x:v>Downside</x:v>
      </x:c>
      <x:c r="D79" s="3"/>
      <x:c r="E79" s="3"/>
      <x:c r="F79" s="3"/>
      <x:c r="G79" s="3"/>
      <x:c r="H79" s="8" t="n">
        <x:v>0.042</x:v>
      </x:c>
      <x:c r="I79" s="8" t="n">
        <x:v>0.042</x:v>
      </x:c>
      <x:c r="J79" s="8" t="n">
        <x:v>0.042</x:v>
      </x:c>
      <x:c r="K79" s="8" t="n">
        <x:v>0.042</x:v>
      </x:c>
      <x:c r="L79" s="8" t="n">
        <x:v>0.042</x:v>
      </x:c>
      <x:c r="M79" s="8" t="n">
        <x:v>0.042</x:v>
      </x:c>
      <x:c r="N79" s="8" t="n">
        <x:v>0.042</x:v>
      </x:c>
      <x:c r="O79" s="8" t="n">
        <x:v>0.042</x:v>
      </x:c>
      <x:c r="P79" s="8" t="n">
        <x:v>0.042</x:v>
      </x:c>
      <x:c r="Q79" s="8" t="n">
        <x:v>0.042</x:v>
      </x:c>
      <x:c r="R79" s="8" t="n">
        <x:v>0.042</x:v>
      </x:c>
      <x:c r="S79" s="8" t="n">
        <x:v>0.042</x:v>
      </x:c>
    </x:row>
    <x:row r="80">
      <x:c r="B80" s="9" t="str">
        <x:v>crypto app per customer b</x:v>
      </x:c>
      <x:c r="C80" s="9" t="str">
        <x:v>ACTIVE</x:v>
      </x:c>
      <x:c r="D80" s="9" t="str">
        <x:v>USD billions per million customers</x:v>
      </x:c>
      <x:c r="E80" s="9" t="str">
        <x:v>2026Q2 App volume $18b; July/August App monthly volumes</x:v>
      </x:c>
      <x:c r="F80" s="9"/>
      <x:c r="G80" s="9"/>
      <x:c r="H80" s="9" t="n">
        <x:f>CHOOSE($D$4,H81,H82,H83)</x:f>
        <x:v>0.6147110332749561</x:v>
      </x:c>
      <x:c r="I80" s="9" t="n">
        <x:f>CHOOSE($D$4,I81,I82,I83)</x:f>
        <x:v>0.6147110332749561</x:v>
      </x:c>
      <x:c r="J80" s="9" t="n">
        <x:f>CHOOSE($D$4,J81,J82,J83)</x:f>
        <x:v>0.6147110332749561</x:v>
      </x:c>
      <x:c r="K80" s="9" t="n">
        <x:f>CHOOSE($D$4,K81,K82,K83)</x:f>
        <x:v>0.6147110332749561</x:v>
      </x:c>
      <x:c r="L80" s="9" t="n">
        <x:f>CHOOSE($D$4,L81,L82,L83)</x:f>
        <x:v>0.6147110332749561</x:v>
      </x:c>
      <x:c r="M80" s="9" t="n">
        <x:f>CHOOSE($D$4,M81,M82,M83)</x:f>
        <x:v>0.6147110332749561</x:v>
      </x:c>
      <x:c r="N80" s="9" t="n">
        <x:f>CHOOSE($D$4,N81,N82,N83)</x:f>
        <x:v>0.6147110332749561</x:v>
      </x:c>
      <x:c r="O80" s="9" t="n">
        <x:f>CHOOSE($D$4,O81,O82,O83)</x:f>
        <x:v>0.6147110332749561</x:v>
      </x:c>
      <x:c r="P80" s="9" t="n">
        <x:f>CHOOSE($D$4,P81,P82,P83)</x:f>
        <x:v>0.6147110332749561</x:v>
      </x:c>
      <x:c r="Q80" s="9" t="n">
        <x:f>CHOOSE($D$4,Q81,Q82,Q83)</x:f>
        <x:v>0.6147110332749561</x:v>
      </x:c>
      <x:c r="R80" s="9" t="n">
        <x:f>CHOOSE($D$4,R81,R82,R83)</x:f>
        <x:v>0.6147110332749561</x:v>
      </x:c>
      <x:c r="S80" s="9" t="n">
        <x:f>CHOOSE($D$4,S81,S82,S83)</x:f>
        <x:v>0.6147110332749561</x:v>
      </x:c>
    </x:row>
    <x:row r="81">
      <x:c r="B81" s="3"/>
      <x:c r="C81" s="3" t="str">
        <x:v>Base</x:v>
      </x:c>
      <x:c r="D81" s="3"/>
      <x:c r="E81" s="3"/>
      <x:c r="F81" s="3"/>
      <x:c r="G81" s="3"/>
      <x:c r="H81" s="8" t="n">
        <x:v>0.6147110332749561</x:v>
      </x:c>
      <x:c r="I81" s="8" t="n">
        <x:v>0.6147110332749561</x:v>
      </x:c>
      <x:c r="J81" s="8" t="n">
        <x:v>0.6147110332749561</x:v>
      </x:c>
      <x:c r="K81" s="8" t="n">
        <x:v>0.6147110332749561</x:v>
      </x:c>
      <x:c r="L81" s="8" t="n">
        <x:v>0.6147110332749561</x:v>
      </x:c>
      <x:c r="M81" s="8" t="n">
        <x:v>0.6147110332749561</x:v>
      </x:c>
      <x:c r="N81" s="8" t="n">
        <x:v>0.6147110332749561</x:v>
      </x:c>
      <x:c r="O81" s="8" t="n">
        <x:v>0.6147110332749561</x:v>
      </x:c>
      <x:c r="P81" s="8" t="n">
        <x:v>0.6147110332749561</x:v>
      </x:c>
      <x:c r="Q81" s="8" t="n">
        <x:v>0.6147110332749561</x:v>
      </x:c>
      <x:c r="R81" s="8" t="n">
        <x:v>0.6147110332749561</x:v>
      </x:c>
      <x:c r="S81" s="8" t="n">
        <x:v>0.6147110332749561</x:v>
      </x:c>
    </x:row>
    <x:row r="82">
      <x:c r="B82" s="3"/>
      <x:c r="C82" s="3" t="str">
        <x:v>Upside</x:v>
      </x:c>
      <x:c r="D82" s="3"/>
      <x:c r="E82" s="3"/>
      <x:c r="F82" s="3"/>
      <x:c r="G82" s="3"/>
      <x:c r="H82" s="8" t="n">
        <x:v>0.7683887915936951</x:v>
      </x:c>
      <x:c r="I82" s="8" t="n">
        <x:v>0.7683887915936951</x:v>
      </x:c>
      <x:c r="J82" s="8" t="n">
        <x:v>0.7683887915936951</x:v>
      </x:c>
      <x:c r="K82" s="8" t="n">
        <x:v>0.7683887915936951</x:v>
      </x:c>
      <x:c r="L82" s="8" t="n">
        <x:v>0.7683887915936951</x:v>
      </x:c>
      <x:c r="M82" s="8" t="n">
        <x:v>0.7683887915936951</x:v>
      </x:c>
      <x:c r="N82" s="8" t="n">
        <x:v>0.7683887915936951</x:v>
      </x:c>
      <x:c r="O82" s="8" t="n">
        <x:v>0.7683887915936951</x:v>
      </x:c>
      <x:c r="P82" s="8" t="n">
        <x:v>0.7683887915936951</x:v>
      </x:c>
      <x:c r="Q82" s="8" t="n">
        <x:v>0.7683887915936951</x:v>
      </x:c>
      <x:c r="R82" s="8" t="n">
        <x:v>0.7683887915936951</x:v>
      </x:c>
      <x:c r="S82" s="8" t="n">
        <x:v>0.7683887915936951</x:v>
      </x:c>
    </x:row>
    <x:row r="83">
      <x:c r="B83" s="3"/>
      <x:c r="C83" s="3" t="str">
        <x:v>Downside</x:v>
      </x:c>
      <x:c r="D83" s="3"/>
      <x:c r="E83" s="3"/>
      <x:c r="F83" s="3"/>
      <x:c r="G83" s="3"/>
      <x:c r="H83" s="8" t="n">
        <x:v>0.4610332749562171</x:v>
      </x:c>
      <x:c r="I83" s="8" t="n">
        <x:v>0.4610332749562171</x:v>
      </x:c>
      <x:c r="J83" s="8" t="n">
        <x:v>0.4610332749562171</x:v>
      </x:c>
      <x:c r="K83" s="8" t="n">
        <x:v>0.4610332749562171</x:v>
      </x:c>
      <x:c r="L83" s="8" t="n">
        <x:v>0.4610332749562171</x:v>
      </x:c>
      <x:c r="M83" s="8" t="n">
        <x:v>0.4610332749562171</x:v>
      </x:c>
      <x:c r="N83" s="8" t="n">
        <x:v>0.4610332749562171</x:v>
      </x:c>
      <x:c r="O83" s="8" t="n">
        <x:v>0.4610332749562171</x:v>
      </x:c>
      <x:c r="P83" s="8" t="n">
        <x:v>0.4610332749562171</x:v>
      </x:c>
      <x:c r="Q83" s="8" t="n">
        <x:v>0.4610332749562171</x:v>
      </x:c>
      <x:c r="R83" s="8" t="n">
        <x:v>0.4610332749562171</x:v>
      </x:c>
      <x:c r="S83" s="8" t="n">
        <x:v>0.4610332749562171</x:v>
      </x:c>
    </x:row>
    <x:row r="84">
      <x:c r="B84" s="9" t="str">
        <x:v>crypto bitstamp per customer b</x:v>
      </x:c>
      <x:c r="C84" s="9" t="str">
        <x:v>ACTIVE</x:v>
      </x:c>
      <x:c r="D84" s="9" t="str">
        <x:v>USD billions per million customers</x:v>
      </x:c>
      <x:c r="E84" s="9" t="str">
        <x:v>2026Q2 Bitstamp volume $22b; July/August Bitstamp monthly volumes</x:v>
      </x:c>
      <x:c r="F84" s="9"/>
      <x:c r="G84" s="9"/>
      <x:c r="H84" s="9" t="n">
        <x:f>CHOOSE($D$4,H85,H86,H87)</x:f>
        <x:v>0.8774080560420314</x:v>
      </x:c>
      <x:c r="I84" s="9" t="n">
        <x:f>CHOOSE($D$4,I85,I86,I87)</x:f>
        <x:v>0.8774080560420314</x:v>
      </x:c>
      <x:c r="J84" s="9" t="n">
        <x:f>CHOOSE($D$4,J85,J86,J87)</x:f>
        <x:v>0.8774080560420314</x:v>
      </x:c>
      <x:c r="K84" s="9" t="n">
        <x:f>CHOOSE($D$4,K85,K86,K87)</x:f>
        <x:v>0.8774080560420314</x:v>
      </x:c>
      <x:c r="L84" s="9" t="n">
        <x:f>CHOOSE($D$4,L85,L86,L87)</x:f>
        <x:v>0.8774080560420314</x:v>
      </x:c>
      <x:c r="M84" s="9" t="n">
        <x:f>CHOOSE($D$4,M85,M86,M87)</x:f>
        <x:v>0.8774080560420314</x:v>
      </x:c>
      <x:c r="N84" s="9" t="n">
        <x:f>CHOOSE($D$4,N85,N86,N87)</x:f>
        <x:v>0.8774080560420314</x:v>
      </x:c>
      <x:c r="O84" s="9" t="n">
        <x:f>CHOOSE($D$4,O85,O86,O87)</x:f>
        <x:v>0.8774080560420314</x:v>
      </x:c>
      <x:c r="P84" s="9" t="n">
        <x:f>CHOOSE($D$4,P85,P86,P87)</x:f>
        <x:v>0.8774080560420314</x:v>
      </x:c>
      <x:c r="Q84" s="9" t="n">
        <x:f>CHOOSE($D$4,Q85,Q86,Q87)</x:f>
        <x:v>0.8774080560420314</x:v>
      </x:c>
      <x:c r="R84" s="9" t="n">
        <x:f>CHOOSE($D$4,R85,R86,R87)</x:f>
        <x:v>0.8774080560420314</x:v>
      </x:c>
      <x:c r="S84" s="9" t="n">
        <x:f>CHOOSE($D$4,S85,S86,S87)</x:f>
        <x:v>0.8774080560420314</x:v>
      </x:c>
    </x:row>
    <x:row r="85">
      <x:c r="B85" s="3"/>
      <x:c r="C85" s="3" t="str">
        <x:v>Base</x:v>
      </x:c>
      <x:c r="D85" s="3"/>
      <x:c r="E85" s="3"/>
      <x:c r="F85" s="3"/>
      <x:c r="G85" s="3"/>
      <x:c r="H85" s="8" t="n">
        <x:v>0.8774080560420314</x:v>
      </x:c>
      <x:c r="I85" s="8" t="n">
        <x:v>0.8774080560420314</x:v>
      </x:c>
      <x:c r="J85" s="8" t="n">
        <x:v>0.8774080560420314</x:v>
      </x:c>
      <x:c r="K85" s="8" t="n">
        <x:v>0.8774080560420314</x:v>
      </x:c>
      <x:c r="L85" s="8" t="n">
        <x:v>0.8774080560420314</x:v>
      </x:c>
      <x:c r="M85" s="8" t="n">
        <x:v>0.8774080560420314</x:v>
      </x:c>
      <x:c r="N85" s="8" t="n">
        <x:v>0.8774080560420314</x:v>
      </x:c>
      <x:c r="O85" s="8" t="n">
        <x:v>0.8774080560420314</x:v>
      </x:c>
      <x:c r="P85" s="8" t="n">
        <x:v>0.8774080560420314</x:v>
      </x:c>
      <x:c r="Q85" s="8" t="n">
        <x:v>0.8774080560420314</x:v>
      </x:c>
      <x:c r="R85" s="8" t="n">
        <x:v>0.8774080560420314</x:v>
      </x:c>
      <x:c r="S85" s="8" t="n">
        <x:v>0.8774080560420314</x:v>
      </x:c>
    </x:row>
    <x:row r="86">
      <x:c r="B86" s="3"/>
      <x:c r="C86" s="3" t="str">
        <x:v>Upside</x:v>
      </x:c>
      <x:c r="D86" s="3"/>
      <x:c r="E86" s="3"/>
      <x:c r="F86" s="3"/>
      <x:c r="G86" s="3"/>
      <x:c r="H86" s="8" t="n">
        <x:v>1.0967600700525393</x:v>
      </x:c>
      <x:c r="I86" s="8" t="n">
        <x:v>1.0967600700525393</x:v>
      </x:c>
      <x:c r="J86" s="8" t="n">
        <x:v>1.0967600700525393</x:v>
      </x:c>
      <x:c r="K86" s="8" t="n">
        <x:v>1.0967600700525393</x:v>
      </x:c>
      <x:c r="L86" s="8" t="n">
        <x:v>1.0967600700525393</x:v>
      </x:c>
      <x:c r="M86" s="8" t="n">
        <x:v>1.0967600700525393</x:v>
      </x:c>
      <x:c r="N86" s="8" t="n">
        <x:v>1.0967600700525393</x:v>
      </x:c>
      <x:c r="O86" s="8" t="n">
        <x:v>1.0967600700525393</x:v>
      </x:c>
      <x:c r="P86" s="8" t="n">
        <x:v>1.0967600700525393</x:v>
      </x:c>
      <x:c r="Q86" s="8" t="n">
        <x:v>1.0967600700525393</x:v>
      </x:c>
      <x:c r="R86" s="8" t="n">
        <x:v>1.0967600700525393</x:v>
      </x:c>
      <x:c r="S86" s="8" t="n">
        <x:v>1.0967600700525393</x:v>
      </x:c>
    </x:row>
    <x:row r="87">
      <x:c r="B87" s="3"/>
      <x:c r="C87" s="3" t="str">
        <x:v>Downside</x:v>
      </x:c>
      <x:c r="D87" s="3"/>
      <x:c r="E87" s="3"/>
      <x:c r="F87" s="3"/>
      <x:c r="G87" s="3"/>
      <x:c r="H87" s="8" t="n">
        <x:v>0.6580560420315236</x:v>
      </x:c>
      <x:c r="I87" s="8" t="n">
        <x:v>0.6580560420315236</x:v>
      </x:c>
      <x:c r="J87" s="8" t="n">
        <x:v>0.6580560420315236</x:v>
      </x:c>
      <x:c r="K87" s="8" t="n">
        <x:v>0.6580560420315236</x:v>
      </x:c>
      <x:c r="L87" s="8" t="n">
        <x:v>0.6580560420315236</x:v>
      </x:c>
      <x:c r="M87" s="8" t="n">
        <x:v>0.6580560420315236</x:v>
      </x:c>
      <x:c r="N87" s="8" t="n">
        <x:v>0.6580560420315236</x:v>
      </x:c>
      <x:c r="O87" s="8" t="n">
        <x:v>0.6580560420315236</x:v>
      </x:c>
      <x:c r="P87" s="8" t="n">
        <x:v>0.6580560420315236</x:v>
      </x:c>
      <x:c r="Q87" s="8" t="n">
        <x:v>0.6580560420315236</x:v>
      </x:c>
      <x:c r="R87" s="8" t="n">
        <x:v>0.6580560420315236</x:v>
      </x:c>
      <x:c r="S87" s="8" t="n">
        <x:v>0.6580560420315236</x:v>
      </x:c>
    </x:row>
    <x:row r="88">
      <x:c r="B88" s="9" t="str">
        <x:v>crypto blended bps</x:v>
      </x:c>
      <x:c r="C88" s="9" t="str">
        <x:v>ACTIVE</x:v>
      </x:c>
      <x:c r="D88" s="9" t="str">
        <x:v>basis points</x:v>
      </x:c>
      <x:c r="E88" s="9" t="str">
        <x:v>2025Q4–2026Q2 combined-scope realized bps</x:v>
      </x:c>
      <x:c r="F88" s="9"/>
      <x:c r="G88" s="9"/>
      <x:c r="H88" s="9" t="n">
        <x:f>CHOOSE($D$4,H89,H90,H91)</x:f>
        <x:v>24.752475247524753</x:v>
      </x:c>
      <x:c r="I88" s="9" t="n">
        <x:f>CHOOSE($D$4,I89,I90,I91)</x:f>
        <x:v>24.752475247524753</x:v>
      </x:c>
      <x:c r="J88" s="9" t="n">
        <x:f>CHOOSE($D$4,J89,J90,J91)</x:f>
        <x:v>24.752475247524753</x:v>
      </x:c>
      <x:c r="K88" s="9" t="n">
        <x:f>CHOOSE($D$4,K89,K90,K91)</x:f>
        <x:v>24.752475247524753</x:v>
      </x:c>
      <x:c r="L88" s="9" t="n">
        <x:f>CHOOSE($D$4,L89,L90,L91)</x:f>
        <x:v>24.752475247524753</x:v>
      </x:c>
      <x:c r="M88" s="9" t="n">
        <x:f>CHOOSE($D$4,M89,M90,M91)</x:f>
        <x:v>24.752475247524753</x:v>
      </x:c>
      <x:c r="N88" s="9" t="n">
        <x:f>CHOOSE($D$4,N89,N90,N91)</x:f>
        <x:v>24.752475247524753</x:v>
      </x:c>
      <x:c r="O88" s="9" t="n">
        <x:f>CHOOSE($D$4,O89,O90,O91)</x:f>
        <x:v>24.752475247524753</x:v>
      </x:c>
      <x:c r="P88" s="9" t="n">
        <x:f>CHOOSE($D$4,P89,P90,P91)</x:f>
        <x:v>24.752475247524753</x:v>
      </x:c>
      <x:c r="Q88" s="9" t="n">
        <x:f>CHOOSE($D$4,Q89,Q90,Q91)</x:f>
        <x:v>24.752475247524753</x:v>
      </x:c>
      <x:c r="R88" s="9" t="n">
        <x:f>CHOOSE($D$4,R89,R90,R91)</x:f>
        <x:v>24.752475247524753</x:v>
      </x:c>
      <x:c r="S88" s="9" t="n">
        <x:f>CHOOSE($D$4,S89,S90,S91)</x:f>
        <x:v>24.752475247524753</x:v>
      </x:c>
    </x:row>
    <x:row r="89">
      <x:c r="B89" s="3"/>
      <x:c r="C89" s="3" t="str">
        <x:v>Base</x:v>
      </x:c>
      <x:c r="D89" s="3"/>
      <x:c r="E89" s="3"/>
      <x:c r="F89" s="3"/>
      <x:c r="G89" s="3"/>
      <x:c r="H89" s="8" t="n">
        <x:v>24.752475247524753</x:v>
      </x:c>
      <x:c r="I89" s="8" t="n">
        <x:v>24.752475247524753</x:v>
      </x:c>
      <x:c r="J89" s="8" t="n">
        <x:v>24.752475247524753</x:v>
      </x:c>
      <x:c r="K89" s="8" t="n">
        <x:v>24.752475247524753</x:v>
      </x:c>
      <x:c r="L89" s="8" t="n">
        <x:v>24.752475247524753</x:v>
      </x:c>
      <x:c r="M89" s="8" t="n">
        <x:v>24.752475247524753</x:v>
      </x:c>
      <x:c r="N89" s="8" t="n">
        <x:v>24.752475247524753</x:v>
      </x:c>
      <x:c r="O89" s="8" t="n">
        <x:v>24.752475247524753</x:v>
      </x:c>
      <x:c r="P89" s="8" t="n">
        <x:v>24.752475247524753</x:v>
      </x:c>
      <x:c r="Q89" s="8" t="n">
        <x:v>24.752475247524753</x:v>
      </x:c>
      <x:c r="R89" s="8" t="n">
        <x:v>24.752475247524753</x:v>
      </x:c>
      <x:c r="S89" s="8" t="n">
        <x:v>24.752475247524753</x:v>
      </x:c>
    </x:row>
    <x:row r="90">
      <x:c r="B90" s="3"/>
      <x:c r="C90" s="3" t="str">
        <x:v>Upside</x:v>
      </x:c>
      <x:c r="D90" s="3"/>
      <x:c r="E90" s="3"/>
      <x:c r="F90" s="3"/>
      <x:c r="G90" s="3"/>
      <x:c r="H90" s="8" t="n">
        <x:v>24.752475247524753</x:v>
      </x:c>
      <x:c r="I90" s="8" t="n">
        <x:v>24.752475247524753</x:v>
      </x:c>
      <x:c r="J90" s="8" t="n">
        <x:v>24.752475247524753</x:v>
      </x:c>
      <x:c r="K90" s="8" t="n">
        <x:v>24.752475247524753</x:v>
      </x:c>
      <x:c r="L90" s="8" t="n">
        <x:v>24.752475247524753</x:v>
      </x:c>
      <x:c r="M90" s="8" t="n">
        <x:v>24.752475247524753</x:v>
      </x:c>
      <x:c r="N90" s="8" t="n">
        <x:v>24.752475247524753</x:v>
      </x:c>
      <x:c r="O90" s="8" t="n">
        <x:v>24.752475247524753</x:v>
      </x:c>
      <x:c r="P90" s="8" t="n">
        <x:v>24.752475247524753</x:v>
      </x:c>
      <x:c r="Q90" s="8" t="n">
        <x:v>24.752475247524753</x:v>
      </x:c>
      <x:c r="R90" s="8" t="n">
        <x:v>24.752475247524753</x:v>
      </x:c>
      <x:c r="S90" s="8" t="n">
        <x:v>24.752475247524753</x:v>
      </x:c>
    </x:row>
    <x:row r="91">
      <x:c r="B91" s="3"/>
      <x:c r="C91" s="3" t="str">
        <x:v>Downside</x:v>
      </x:c>
      <x:c r="D91" s="3"/>
      <x:c r="E91" s="3"/>
      <x:c r="F91" s="3"/>
      <x:c r="G91" s="3"/>
      <x:c r="H91" s="8" t="n">
        <x:v>21.03960396039604</x:v>
      </x:c>
      <x:c r="I91" s="8" t="n">
        <x:v>21.03960396039604</x:v>
      </x:c>
      <x:c r="J91" s="8" t="n">
        <x:v>21.03960396039604</x:v>
      </x:c>
      <x:c r="K91" s="8" t="n">
        <x:v>21.03960396039604</x:v>
      </x:c>
      <x:c r="L91" s="8" t="n">
        <x:v>21.03960396039604</x:v>
      </x:c>
      <x:c r="M91" s="8" t="n">
        <x:v>21.03960396039604</x:v>
      </x:c>
      <x:c r="N91" s="8" t="n">
        <x:v>21.03960396039604</x:v>
      </x:c>
      <x:c r="O91" s="8" t="n">
        <x:v>21.03960396039604</x:v>
      </x:c>
      <x:c r="P91" s="8" t="n">
        <x:v>21.03960396039604</x:v>
      </x:c>
      <x:c r="Q91" s="8" t="n">
        <x:v>21.03960396039604</x:v>
      </x:c>
      <x:c r="R91" s="8" t="n">
        <x:v>21.03960396039604</x:v>
      </x:c>
      <x:c r="S91" s="8" t="n">
        <x:v>21.03960396039604</x:v>
      </x:c>
    </x:row>
    <x:row r="92">
      <x:c r="B92" s="9" t="str">
        <x:v>debt interest adjustment m</x:v>
      </x:c>
      <x:c r="C92" s="9" t="str">
        <x:v>ACTIVE</x:v>
      </x:c>
      <x:c r="D92" s="9" t="str">
        <x:v>USD millions</x:v>
      </x:c>
      <x:c r="E92" s="9" t="str">
        <x:v>2026Q2 reported $10m</x:v>
      </x:c>
      <x:c r="F92" s="9"/>
      <x:c r="G92" s="9"/>
      <x:c r="H92" s="9" t="n">
        <x:f>CHOOSE($D$4,H93,H94,H95)</x:f>
        <x:v>10</x:v>
      </x:c>
      <x:c r="I92" s="9" t="n">
        <x:f>CHOOSE($D$4,I93,I94,I95)</x:f>
        <x:v>10</x:v>
      </x:c>
      <x:c r="J92" s="9" t="n">
        <x:f>CHOOSE($D$4,J93,J94,J95)</x:f>
        <x:v>10</x:v>
      </x:c>
      <x:c r="K92" s="9" t="n">
        <x:f>CHOOSE($D$4,K93,K94,K95)</x:f>
        <x:v>10</x:v>
      </x:c>
      <x:c r="L92" s="9" t="n">
        <x:f>CHOOSE($D$4,L93,L94,L95)</x:f>
        <x:v>10</x:v>
      </x:c>
      <x:c r="M92" s="9" t="n">
        <x:f>CHOOSE($D$4,M93,M94,M95)</x:f>
        <x:v>10</x:v>
      </x:c>
      <x:c r="N92" s="9" t="n">
        <x:f>CHOOSE($D$4,N93,N94,N95)</x:f>
        <x:v>10</x:v>
      </x:c>
      <x:c r="O92" s="9" t="n">
        <x:f>CHOOSE($D$4,O93,O94,O95)</x:f>
        <x:v>10</x:v>
      </x:c>
      <x:c r="P92" s="9" t="n">
        <x:f>CHOOSE($D$4,P93,P94,P95)</x:f>
        <x:v>10</x:v>
      </x:c>
      <x:c r="Q92" s="9" t="n">
        <x:f>CHOOSE($D$4,Q93,Q94,Q95)</x:f>
        <x:v>10</x:v>
      </x:c>
      <x:c r="R92" s="9" t="n">
        <x:f>CHOOSE($D$4,R93,R94,R95)</x:f>
        <x:v>10</x:v>
      </x:c>
      <x:c r="S92" s="9" t="n">
        <x:f>CHOOSE($D$4,S93,S94,S95)</x:f>
        <x:v>10</x:v>
      </x:c>
    </x:row>
    <x:row r="93">
      <x:c r="B93" s="3"/>
      <x:c r="C93" s="3" t="str">
        <x:v>Base</x:v>
      </x:c>
      <x:c r="D93" s="3"/>
      <x:c r="E93" s="3"/>
      <x:c r="F93" s="3"/>
      <x:c r="G93" s="3"/>
      <x:c r="H93" s="8" t="n">
        <x:v>10</x:v>
      </x:c>
      <x:c r="I93" s="8" t="n">
        <x:v>10</x:v>
      </x:c>
      <x:c r="J93" s="8" t="n">
        <x:v>10</x:v>
      </x:c>
      <x:c r="K93" s="8" t="n">
        <x:v>10</x:v>
      </x:c>
      <x:c r="L93" s="8" t="n">
        <x:v>10</x:v>
      </x:c>
      <x:c r="M93" s="8" t="n">
        <x:v>10</x:v>
      </x:c>
      <x:c r="N93" s="8" t="n">
        <x:v>10</x:v>
      </x:c>
      <x:c r="O93" s="8" t="n">
        <x:v>10</x:v>
      </x:c>
      <x:c r="P93" s="8" t="n">
        <x:v>10</x:v>
      </x:c>
      <x:c r="Q93" s="8" t="n">
        <x:v>10</x:v>
      </x:c>
      <x:c r="R93" s="8" t="n">
        <x:v>10</x:v>
      </x:c>
      <x:c r="S93" s="8" t="n">
        <x:v>10</x:v>
      </x:c>
    </x:row>
    <x:row r="94">
      <x:c r="B94" s="3"/>
      <x:c r="C94" s="3" t="str">
        <x:v>Upside</x:v>
      </x:c>
      <x:c r="D94" s="3"/>
      <x:c r="E94" s="3"/>
      <x:c r="F94" s="3"/>
      <x:c r="G94" s="3"/>
      <x:c r="H94" s="8" t="n">
        <x:v>10</x:v>
      </x:c>
      <x:c r="I94" s="8" t="n">
        <x:v>10</x:v>
      </x:c>
      <x:c r="J94" s="8" t="n">
        <x:v>10</x:v>
      </x:c>
      <x:c r="K94" s="8" t="n">
        <x:v>10</x:v>
      </x:c>
      <x:c r="L94" s="8" t="n">
        <x:v>10</x:v>
      </x:c>
      <x:c r="M94" s="8" t="n">
        <x:v>10</x:v>
      </x:c>
      <x:c r="N94" s="8" t="n">
        <x:v>10</x:v>
      </x:c>
      <x:c r="O94" s="8" t="n">
        <x:v>10</x:v>
      </x:c>
      <x:c r="P94" s="8" t="n">
        <x:v>10</x:v>
      </x:c>
      <x:c r="Q94" s="8" t="n">
        <x:v>10</x:v>
      </x:c>
      <x:c r="R94" s="8" t="n">
        <x:v>10</x:v>
      </x:c>
      <x:c r="S94" s="8" t="n">
        <x:v>10</x:v>
      </x:c>
    </x:row>
    <x:row r="95">
      <x:c r="B95" s="3"/>
      <x:c r="C95" s="3" t="str">
        <x:v>Downside</x:v>
      </x:c>
      <x:c r="D95" s="3"/>
      <x:c r="E95" s="3"/>
      <x:c r="F95" s="3"/>
      <x:c r="G95" s="3"/>
      <x:c r="H95" s="8" t="n">
        <x:v>10</x:v>
      </x:c>
      <x:c r="I95" s="8" t="n">
        <x:v>10</x:v>
      </x:c>
      <x:c r="J95" s="8" t="n">
        <x:v>10</x:v>
      </x:c>
      <x:c r="K95" s="8" t="n">
        <x:v>10</x:v>
      </x:c>
      <x:c r="L95" s="8" t="n">
        <x:v>10</x:v>
      </x:c>
      <x:c r="M95" s="8" t="n">
        <x:v>10</x:v>
      </x:c>
      <x:c r="N95" s="8" t="n">
        <x:v>10</x:v>
      </x:c>
      <x:c r="O95" s="8" t="n">
        <x:v>10</x:v>
      </x:c>
      <x:c r="P95" s="8" t="n">
        <x:v>10</x:v>
      </x:c>
      <x:c r="Q95" s="8" t="n">
        <x:v>10</x:v>
      </x:c>
      <x:c r="R95" s="8" t="n">
        <x:v>10</x:v>
      </x:c>
      <x:c r="S95" s="8" t="n">
        <x:v>10</x:v>
      </x:c>
    </x:row>
    <x:row r="96">
      <x:c r="B96" s="9" t="str">
        <x:v>depreciation adjustment m</x:v>
      </x:c>
      <x:c r="C96" s="9" t="str">
        <x:v>ACTIVE</x:v>
      </x:c>
      <x:c r="D96" s="9" t="str">
        <x:v>USD millions</x:v>
      </x:c>
      <x:c r="E96" s="9" t="str">
        <x:v>2026Q2 reported $23m</x:v>
      </x:c>
      <x:c r="F96" s="9"/>
      <x:c r="G96" s="9"/>
      <x:c r="H96" s="9" t="n">
        <x:f>CHOOSE($D$4,H97,H98,H99)</x:f>
        <x:v>23</x:v>
      </x:c>
      <x:c r="I96" s="9" t="n">
        <x:f>CHOOSE($D$4,I97,I98,I99)</x:f>
        <x:v>23.5</x:v>
      </x:c>
      <x:c r="J96" s="9" t="n">
        <x:f>CHOOSE($D$4,J97,J98,J99)</x:f>
        <x:v>24</x:v>
      </x:c>
      <x:c r="K96" s="9" t="n">
        <x:f>CHOOSE($D$4,K97,K98,K99)</x:f>
        <x:v>24.5</x:v>
      </x:c>
      <x:c r="L96" s="9" t="n">
        <x:f>CHOOSE($D$4,L97,L98,L99)</x:f>
        <x:v>25</x:v>
      </x:c>
      <x:c r="M96" s="9" t="n">
        <x:f>CHOOSE($D$4,M97,M98,M99)</x:f>
        <x:v>25.5</x:v>
      </x:c>
      <x:c r="N96" s="9" t="n">
        <x:f>CHOOSE($D$4,N97,N98,N99)</x:f>
        <x:v>26</x:v>
      </x:c>
      <x:c r="O96" s="9" t="n">
        <x:f>CHOOSE($D$4,O97,O98,O99)</x:f>
        <x:v>26.5</x:v>
      </x:c>
      <x:c r="P96" s="9" t="n">
        <x:f>CHOOSE($D$4,P97,P98,P99)</x:f>
        <x:v>27</x:v>
      </x:c>
      <x:c r="Q96" s="9" t="n">
        <x:f>CHOOSE($D$4,Q97,Q98,Q99)</x:f>
        <x:v>27.5</x:v>
      </x:c>
      <x:c r="R96" s="9" t="n">
        <x:f>CHOOSE($D$4,R97,R98,R99)</x:f>
        <x:v>28</x:v>
      </x:c>
      <x:c r="S96" s="9" t="n">
        <x:f>CHOOSE($D$4,S97,S98,S99)</x:f>
        <x:v>28.5</x:v>
      </x:c>
    </x:row>
    <x:row r="97">
      <x:c r="B97" s="3"/>
      <x:c r="C97" s="3" t="str">
        <x:v>Base</x:v>
      </x:c>
      <x:c r="D97" s="3"/>
      <x:c r="E97" s="3"/>
      <x:c r="F97" s="3"/>
      <x:c r="G97" s="3"/>
      <x:c r="H97" s="8" t="n">
        <x:v>23</x:v>
      </x:c>
      <x:c r="I97" s="8" t="n">
        <x:v>23.5</x:v>
      </x:c>
      <x:c r="J97" s="8" t="n">
        <x:v>24</x:v>
      </x:c>
      <x:c r="K97" s="8" t="n">
        <x:v>24.5</x:v>
      </x:c>
      <x:c r="L97" s="8" t="n">
        <x:v>25</x:v>
      </x:c>
      <x:c r="M97" s="8" t="n">
        <x:v>25.5</x:v>
      </x:c>
      <x:c r="N97" s="8" t="n">
        <x:v>26</x:v>
      </x:c>
      <x:c r="O97" s="8" t="n">
        <x:v>26.5</x:v>
      </x:c>
      <x:c r="P97" s="8" t="n">
        <x:v>27</x:v>
      </x:c>
      <x:c r="Q97" s="8" t="n">
        <x:v>27.5</x:v>
      </x:c>
      <x:c r="R97" s="8" t="n">
        <x:v>28</x:v>
      </x:c>
      <x:c r="S97" s="8" t="n">
        <x:v>28.5</x:v>
      </x:c>
    </x:row>
    <x:row r="98">
      <x:c r="B98" s="3"/>
      <x:c r="C98" s="3" t="str">
        <x:v>Upside</x:v>
      </x:c>
      <x:c r="D98" s="3"/>
      <x:c r="E98" s="3"/>
      <x:c r="F98" s="3"/>
      <x:c r="G98" s="3"/>
      <x:c r="H98" s="8" t="n">
        <x:v>23</x:v>
      </x:c>
      <x:c r="I98" s="8" t="n">
        <x:v>23.5</x:v>
      </x:c>
      <x:c r="J98" s="8" t="n">
        <x:v>24</x:v>
      </x:c>
      <x:c r="K98" s="8" t="n">
        <x:v>24.5</x:v>
      </x:c>
      <x:c r="L98" s="8" t="n">
        <x:v>25</x:v>
      </x:c>
      <x:c r="M98" s="8" t="n">
        <x:v>25.5</x:v>
      </x:c>
      <x:c r="N98" s="8" t="n">
        <x:v>26</x:v>
      </x:c>
      <x:c r="O98" s="8" t="n">
        <x:v>26.5</x:v>
      </x:c>
      <x:c r="P98" s="8" t="n">
        <x:v>27</x:v>
      </x:c>
      <x:c r="Q98" s="8" t="n">
        <x:v>27.5</x:v>
      </x:c>
      <x:c r="R98" s="8" t="n">
        <x:v>28</x:v>
      </x:c>
      <x:c r="S98" s="8" t="n">
        <x:v>28.5</x:v>
      </x:c>
    </x:row>
    <x:row r="99">
      <x:c r="B99" s="3"/>
      <x:c r="C99" s="3" t="str">
        <x:v>Downside</x:v>
      </x:c>
      <x:c r="D99" s="3"/>
      <x:c r="E99" s="3"/>
      <x:c r="F99" s="3"/>
      <x:c r="G99" s="3"/>
      <x:c r="H99" s="8" t="n">
        <x:v>23</x:v>
      </x:c>
      <x:c r="I99" s="8" t="n">
        <x:v>23.5</x:v>
      </x:c>
      <x:c r="J99" s="8" t="n">
        <x:v>24</x:v>
      </x:c>
      <x:c r="K99" s="8" t="n">
        <x:v>24.5</x:v>
      </x:c>
      <x:c r="L99" s="8" t="n">
        <x:v>25</x:v>
      </x:c>
      <x:c r="M99" s="8" t="n">
        <x:v>25.5</x:v>
      </x:c>
      <x:c r="N99" s="8" t="n">
        <x:v>26</x:v>
      </x:c>
      <x:c r="O99" s="8" t="n">
        <x:v>26.5</x:v>
      </x:c>
      <x:c r="P99" s="8" t="n">
        <x:v>27</x:v>
      </x:c>
      <x:c r="Q99" s="8" t="n">
        <x:v>27.5</x:v>
      </x:c>
      <x:c r="R99" s="8" t="n">
        <x:v>28</x:v>
      </x:c>
      <x:c r="S99" s="8" t="n">
        <x:v>28.5</x:v>
      </x:c>
    </x:row>
    <x:row r="100">
      <x:c r="B100" s="9" t="str">
        <x:v>effective tax rate pct</x:v>
      </x:c>
      <x:c r="C100" s="9" t="str">
        <x:v>ACTIVE</x:v>
      </x:c>
      <x:c r="D100" s="9" t="str">
        <x:v>percent</x:v>
      </x:c>
      <x:c r="E100" s="9" t="str">
        <x:v>2026Q1/Q2 reported taxes and pretax income</x:v>
      </x:c>
      <x:c r="F100" s="9"/>
      <x:c r="G100" s="9"/>
      <x:c r="H100" s="9" t="n">
        <x:f>CHOOSE($D$4,H101,H102,H103)</x:f>
        <x:v>20</x:v>
      </x:c>
      <x:c r="I100" s="9" t="n">
        <x:f>CHOOSE($D$4,I101,I102,I103)</x:f>
        <x:v>20</x:v>
      </x:c>
      <x:c r="J100" s="9" t="n">
        <x:f>CHOOSE($D$4,J101,J102,J103)</x:f>
        <x:v>20</x:v>
      </x:c>
      <x:c r="K100" s="9" t="n">
        <x:f>CHOOSE($D$4,K101,K102,K103)</x:f>
        <x:v>20</x:v>
      </x:c>
      <x:c r="L100" s="9" t="n">
        <x:f>CHOOSE($D$4,L101,L102,L103)</x:f>
        <x:v>20</x:v>
      </x:c>
      <x:c r="M100" s="9" t="n">
        <x:f>CHOOSE($D$4,M101,M102,M103)</x:f>
        <x:v>20</x:v>
      </x:c>
      <x:c r="N100" s="9" t="n">
        <x:f>CHOOSE($D$4,N101,N102,N103)</x:f>
        <x:v>20</x:v>
      </x:c>
      <x:c r="O100" s="9" t="n">
        <x:f>CHOOSE($D$4,O101,O102,O103)</x:f>
        <x:v>20</x:v>
      </x:c>
      <x:c r="P100" s="9" t="n">
        <x:f>CHOOSE($D$4,P101,P102,P103)</x:f>
        <x:v>20</x:v>
      </x:c>
      <x:c r="Q100" s="9" t="n">
        <x:f>CHOOSE($D$4,Q101,Q102,Q103)</x:f>
        <x:v>20</x:v>
      </x:c>
      <x:c r="R100" s="9" t="n">
        <x:f>CHOOSE($D$4,R101,R102,R103)</x:f>
        <x:v>20</x:v>
      </x:c>
      <x:c r="S100" s="9" t="n">
        <x:f>CHOOSE($D$4,S101,S102,S103)</x:f>
        <x:v>20</x:v>
      </x:c>
    </x:row>
    <x:row r="101">
      <x:c r="B101" s="3"/>
      <x:c r="C101" s="3" t="str">
        <x:v>Base</x:v>
      </x:c>
      <x:c r="D101" s="3"/>
      <x:c r="E101" s="3"/>
      <x:c r="F101" s="3"/>
      <x:c r="G101" s="3"/>
      <x:c r="H101" s="8" t="n">
        <x:v>20</x:v>
      </x:c>
      <x:c r="I101" s="8" t="n">
        <x:v>20</x:v>
      </x:c>
      <x:c r="J101" s="8" t="n">
        <x:v>20</x:v>
      </x:c>
      <x:c r="K101" s="8" t="n">
        <x:v>20</x:v>
      </x:c>
      <x:c r="L101" s="8" t="n">
        <x:v>20</x:v>
      </x:c>
      <x:c r="M101" s="8" t="n">
        <x:v>20</x:v>
      </x:c>
      <x:c r="N101" s="8" t="n">
        <x:v>20</x:v>
      </x:c>
      <x:c r="O101" s="8" t="n">
        <x:v>20</x:v>
      </x:c>
      <x:c r="P101" s="8" t="n">
        <x:v>20</x:v>
      </x:c>
      <x:c r="Q101" s="8" t="n">
        <x:v>20</x:v>
      </x:c>
      <x:c r="R101" s="8" t="n">
        <x:v>20</x:v>
      </x:c>
      <x:c r="S101" s="8" t="n">
        <x:v>20</x:v>
      </x:c>
    </x:row>
    <x:row r="102">
      <x:c r="B102" s="3"/>
      <x:c r="C102" s="3" t="str">
        <x:v>Upside</x:v>
      </x:c>
      <x:c r="D102" s="3"/>
      <x:c r="E102" s="3"/>
      <x:c r="F102" s="3"/>
      <x:c r="G102" s="3"/>
      <x:c r="H102" s="8" t="n">
        <x:v>20</x:v>
      </x:c>
      <x:c r="I102" s="8" t="n">
        <x:v>20</x:v>
      </x:c>
      <x:c r="J102" s="8" t="n">
        <x:v>20</x:v>
      </x:c>
      <x:c r="K102" s="8" t="n">
        <x:v>20</x:v>
      </x:c>
      <x:c r="L102" s="8" t="n">
        <x:v>20</x:v>
      </x:c>
      <x:c r="M102" s="8" t="n">
        <x:v>20</x:v>
      </x:c>
      <x:c r="N102" s="8" t="n">
        <x:v>20</x:v>
      </x:c>
      <x:c r="O102" s="8" t="n">
        <x:v>20</x:v>
      </x:c>
      <x:c r="P102" s="8" t="n">
        <x:v>20</x:v>
      </x:c>
      <x:c r="Q102" s="8" t="n">
        <x:v>20</x:v>
      </x:c>
      <x:c r="R102" s="8" t="n">
        <x:v>20</x:v>
      </x:c>
      <x:c r="S102" s="8" t="n">
        <x:v>20</x:v>
      </x:c>
    </x:row>
    <x:row r="103">
      <x:c r="B103" s="3"/>
      <x:c r="C103" s="3" t="str">
        <x:v>Downside</x:v>
      </x:c>
      <x:c r="D103" s="3"/>
      <x:c r="E103" s="3"/>
      <x:c r="F103" s="3"/>
      <x:c r="G103" s="3"/>
      <x:c r="H103" s="8" t="n">
        <x:v>20</x:v>
      </x:c>
      <x:c r="I103" s="8" t="n">
        <x:v>20</x:v>
      </x:c>
      <x:c r="J103" s="8" t="n">
        <x:v>20</x:v>
      </x:c>
      <x:c r="K103" s="8" t="n">
        <x:v>20</x:v>
      </x:c>
      <x:c r="L103" s="8" t="n">
        <x:v>20</x:v>
      </x:c>
      <x:c r="M103" s="8" t="n">
        <x:v>20</x:v>
      </x:c>
      <x:c r="N103" s="8" t="n">
        <x:v>20</x:v>
      </x:c>
      <x:c r="O103" s="8" t="n">
        <x:v>20</x:v>
      </x:c>
      <x:c r="P103" s="8" t="n">
        <x:v>20</x:v>
      </x:c>
      <x:c r="Q103" s="8" t="n">
        <x:v>20</x:v>
      </x:c>
      <x:c r="R103" s="8" t="n">
        <x:v>20</x:v>
      </x:c>
      <x:c r="S103" s="8" t="n">
        <x:v>20</x:v>
      </x:c>
    </x:row>
    <x:row r="104">
      <x:c r="B104" s="9" t="str">
        <x:v>equity monetization bps</x:v>
      </x:c>
      <x:c r="C104" s="9" t="str">
        <x:v>ACTIVE</x:v>
      </x:c>
      <x:c r="D104" s="9" t="str">
        <x:v>basis points</x:v>
      </x:c>
      <x:c r="E104" s="9" t="str">
        <x:v>2025Q4–2026Q2 realized bps</x:v>
      </x:c>
      <x:c r="F104" s="9"/>
      <x:c r="G104" s="9"/>
      <x:c r="H104" s="9" t="n">
        <x:f>CHOOSE($D$4,H105,H106,H107)</x:f>
        <x:v>1.3235708251196845</x:v>
      </x:c>
      <x:c r="I104" s="9" t="n">
        <x:f>CHOOSE($D$4,I105,I106,I107)</x:f>
        <x:v>1.3235708251196845</x:v>
      </x:c>
      <x:c r="J104" s="9" t="n">
        <x:f>CHOOSE($D$4,J105,J106,J107)</x:f>
        <x:v>1.3235708251196845</x:v>
      </x:c>
      <x:c r="K104" s="9" t="n">
        <x:f>CHOOSE($D$4,K105,K106,K107)</x:f>
        <x:v>1.3235708251196845</x:v>
      </x:c>
      <x:c r="L104" s="9" t="n">
        <x:f>CHOOSE($D$4,L105,L106,L107)</x:f>
        <x:v>1.3235708251196845</x:v>
      </x:c>
      <x:c r="M104" s="9" t="n">
        <x:f>CHOOSE($D$4,M105,M106,M107)</x:f>
        <x:v>1.3235708251196845</x:v>
      </x:c>
      <x:c r="N104" s="9" t="n">
        <x:f>CHOOSE($D$4,N105,N106,N107)</x:f>
        <x:v>1.3235708251196845</x:v>
      </x:c>
      <x:c r="O104" s="9" t="n">
        <x:f>CHOOSE($D$4,O105,O106,O107)</x:f>
        <x:v>1.3235708251196845</x:v>
      </x:c>
      <x:c r="P104" s="9" t="n">
        <x:f>CHOOSE($D$4,P105,P106,P107)</x:f>
        <x:v>1.3235708251196845</x:v>
      </x:c>
      <x:c r="Q104" s="9" t="n">
        <x:f>CHOOSE($D$4,Q105,Q106,Q107)</x:f>
        <x:v>1.3235708251196845</x:v>
      </x:c>
      <x:c r="R104" s="9" t="n">
        <x:f>CHOOSE($D$4,R105,R106,R107)</x:f>
        <x:v>1.3235708251196845</x:v>
      </x:c>
      <x:c r="S104" s="9" t="n">
        <x:f>CHOOSE($D$4,S105,S106,S107)</x:f>
        <x:v>1.3235708251196845</x:v>
      </x:c>
    </x:row>
    <x:row r="105">
      <x:c r="B105" s="3"/>
      <x:c r="C105" s="3" t="str">
        <x:v>Base</x:v>
      </x:c>
      <x:c r="D105" s="3"/>
      <x:c r="E105" s="3"/>
      <x:c r="F105" s="3"/>
      <x:c r="G105" s="3"/>
      <x:c r="H105" s="8" t="n">
        <x:v>1.3235708251196845</x:v>
      </x:c>
      <x:c r="I105" s="8" t="n">
        <x:v>1.3235708251196845</x:v>
      </x:c>
      <x:c r="J105" s="8" t="n">
        <x:v>1.3235708251196845</x:v>
      </x:c>
      <x:c r="K105" s="8" t="n">
        <x:v>1.3235708251196845</x:v>
      </x:c>
      <x:c r="L105" s="8" t="n">
        <x:v>1.3235708251196845</x:v>
      </x:c>
      <x:c r="M105" s="8" t="n">
        <x:v>1.3235708251196845</x:v>
      </x:c>
      <x:c r="N105" s="8" t="n">
        <x:v>1.3235708251196845</x:v>
      </x:c>
      <x:c r="O105" s="8" t="n">
        <x:v>1.3235708251196845</x:v>
      </x:c>
      <x:c r="P105" s="8" t="n">
        <x:v>1.3235708251196845</x:v>
      </x:c>
      <x:c r="Q105" s="8" t="n">
        <x:v>1.3235708251196845</x:v>
      </x:c>
      <x:c r="R105" s="8" t="n">
        <x:v>1.3235708251196845</x:v>
      </x:c>
      <x:c r="S105" s="8" t="n">
        <x:v>1.3235708251196845</x:v>
      </x:c>
    </x:row>
    <x:row r="106">
      <x:c r="B106" s="3"/>
      <x:c r="C106" s="3" t="str">
        <x:v>Upside</x:v>
      </x:c>
      <x:c r="D106" s="3"/>
      <x:c r="E106" s="3"/>
      <x:c r="F106" s="3"/>
      <x:c r="G106" s="3"/>
      <x:c r="H106" s="8" t="n">
        <x:v>1.3235708251196845</x:v>
      </x:c>
      <x:c r="I106" s="8" t="n">
        <x:v>1.3235708251196845</x:v>
      </x:c>
      <x:c r="J106" s="8" t="n">
        <x:v>1.3235708251196845</x:v>
      </x:c>
      <x:c r="K106" s="8" t="n">
        <x:v>1.3235708251196845</x:v>
      </x:c>
      <x:c r="L106" s="8" t="n">
        <x:v>1.3235708251196845</x:v>
      </x:c>
      <x:c r="M106" s="8" t="n">
        <x:v>1.3235708251196845</x:v>
      </x:c>
      <x:c r="N106" s="8" t="n">
        <x:v>1.3235708251196845</x:v>
      </x:c>
      <x:c r="O106" s="8" t="n">
        <x:v>1.3235708251196845</x:v>
      </x:c>
      <x:c r="P106" s="8" t="n">
        <x:v>1.3235708251196845</x:v>
      </x:c>
      <x:c r="Q106" s="8" t="n">
        <x:v>1.3235708251196845</x:v>
      </x:c>
      <x:c r="R106" s="8" t="n">
        <x:v>1.3235708251196845</x:v>
      </x:c>
      <x:c r="S106" s="8" t="n">
        <x:v>1.3235708251196845</x:v>
      </x:c>
    </x:row>
    <x:row r="107">
      <x:c r="B107" s="3"/>
      <x:c r="C107" s="3" t="str">
        <x:v>Downside</x:v>
      </x:c>
      <x:c r="D107" s="3"/>
      <x:c r="E107" s="3"/>
      <x:c r="F107" s="3"/>
      <x:c r="G107" s="3"/>
      <x:c r="H107" s="8" t="n">
        <x:v>1.2573922838637002</x:v>
      </x:c>
      <x:c r="I107" s="8" t="n">
        <x:v>1.2573922838637002</x:v>
      </x:c>
      <x:c r="J107" s="8" t="n">
        <x:v>1.2573922838637002</x:v>
      </x:c>
      <x:c r="K107" s="8" t="n">
        <x:v>1.2573922838637002</x:v>
      </x:c>
      <x:c r="L107" s="8" t="n">
        <x:v>1.2573922838637002</x:v>
      </x:c>
      <x:c r="M107" s="8" t="n">
        <x:v>1.2573922838637002</x:v>
      </x:c>
      <x:c r="N107" s="8" t="n">
        <x:v>1.2573922838637002</x:v>
      </x:c>
      <x:c r="O107" s="8" t="n">
        <x:v>1.2573922838637002</x:v>
      </x:c>
      <x:c r="P107" s="8" t="n">
        <x:v>1.2573922838637002</x:v>
      </x:c>
      <x:c r="Q107" s="8" t="n">
        <x:v>1.2573922838637002</x:v>
      </x:c>
      <x:c r="R107" s="8" t="n">
        <x:v>1.2573922838637002</x:v>
      </x:c>
      <x:c r="S107" s="8" t="n">
        <x:v>1.2573922838637002</x:v>
      </x:c>
    </x:row>
    <x:row r="108">
      <x:c r="B108" s="9" t="str">
        <x:v>equity notional per customer b</x:v>
      </x:c>
      <x:c r="C108" s="9" t="str">
        <x:v>ACTIVE</x:v>
      </x:c>
      <x:c r="D108" s="9" t="str">
        <x:v>USD billions per million customers</x:v>
      </x:c>
      <x:c r="E108" s="9" t="str">
        <x:v>2025Q4–2026Q2 volume / average funded customers</x:v>
      </x:c>
      <x:c r="F108" s="9"/>
      <x:c r="G108" s="9"/>
      <x:c r="H108" s="9" t="n">
        <x:f>CHOOSE($D$4,H109,H110,H111)</x:f>
        <x:v>30.32977575248831</x:v>
      </x:c>
      <x:c r="I108" s="9" t="n">
        <x:f>CHOOSE($D$4,I109,I110,I111)</x:f>
        <x:v>30.32977575248831</x:v>
      </x:c>
      <x:c r="J108" s="9" t="n">
        <x:f>CHOOSE($D$4,J109,J110,J111)</x:f>
        <x:v>30.32977575248831</x:v>
      </x:c>
      <x:c r="K108" s="9" t="n">
        <x:f>CHOOSE($D$4,K109,K110,K111)</x:f>
        <x:v>30.32977575248831</x:v>
      </x:c>
      <x:c r="L108" s="9" t="n">
        <x:f>CHOOSE($D$4,L109,L110,L111)</x:f>
        <x:v>30.32977575248831</x:v>
      </x:c>
      <x:c r="M108" s="9" t="n">
        <x:f>CHOOSE($D$4,M109,M110,M111)</x:f>
        <x:v>30.32977575248831</x:v>
      </x:c>
      <x:c r="N108" s="9" t="n">
        <x:f>CHOOSE($D$4,N109,N110,N111)</x:f>
        <x:v>30.32977575248831</x:v>
      </x:c>
      <x:c r="O108" s="9" t="n">
        <x:f>CHOOSE($D$4,O109,O110,O111)</x:f>
        <x:v>30.32977575248831</x:v>
      </x:c>
      <x:c r="P108" s="9" t="n">
        <x:f>CHOOSE($D$4,P109,P110,P111)</x:f>
        <x:v>30.32977575248831</x:v>
      </x:c>
      <x:c r="Q108" s="9" t="n">
        <x:f>CHOOSE($D$4,Q109,Q110,Q111)</x:f>
        <x:v>30.32977575248831</x:v>
      </x:c>
      <x:c r="R108" s="9" t="n">
        <x:f>CHOOSE($D$4,R109,R110,R111)</x:f>
        <x:v>30.32977575248831</x:v>
      </x:c>
      <x:c r="S108" s="9" t="n">
        <x:f>CHOOSE($D$4,S109,S110,S111)</x:f>
        <x:v>30.32977575248831</x:v>
      </x:c>
    </x:row>
    <x:row r="109">
      <x:c r="B109" s="3"/>
      <x:c r="C109" s="3" t="str">
        <x:v>Base</x:v>
      </x:c>
      <x:c r="D109" s="3"/>
      <x:c r="E109" s="3"/>
      <x:c r="F109" s="3"/>
      <x:c r="G109" s="3"/>
      <x:c r="H109" s="8" t="n">
        <x:v>30.32977575248831</x:v>
      </x:c>
      <x:c r="I109" s="8" t="n">
        <x:v>30.32977575248831</x:v>
      </x:c>
      <x:c r="J109" s="8" t="n">
        <x:v>30.32977575248831</x:v>
      </x:c>
      <x:c r="K109" s="8" t="n">
        <x:v>30.32977575248831</x:v>
      </x:c>
      <x:c r="L109" s="8" t="n">
        <x:v>30.32977575248831</x:v>
      </x:c>
      <x:c r="M109" s="8" t="n">
        <x:v>30.32977575248831</x:v>
      </x:c>
      <x:c r="N109" s="8" t="n">
        <x:v>30.32977575248831</x:v>
      </x:c>
      <x:c r="O109" s="8" t="n">
        <x:v>30.32977575248831</x:v>
      </x:c>
      <x:c r="P109" s="8" t="n">
        <x:v>30.32977575248831</x:v>
      </x:c>
      <x:c r="Q109" s="8" t="n">
        <x:v>30.32977575248831</x:v>
      </x:c>
      <x:c r="R109" s="8" t="n">
        <x:v>30.32977575248831</x:v>
      </x:c>
      <x:c r="S109" s="8" t="n">
        <x:v>30.32977575248831</x:v>
      </x:c>
    </x:row>
    <x:row r="110">
      <x:c r="B110" s="3"/>
      <x:c r="C110" s="3" t="str">
        <x:v>Upside</x:v>
      </x:c>
      <x:c r="D110" s="3"/>
      <x:c r="E110" s="3"/>
      <x:c r="F110" s="3"/>
      <x:c r="G110" s="3"/>
      <x:c r="H110" s="8" t="n">
        <x:v>34.879242115361556</x:v>
      </x:c>
      <x:c r="I110" s="8" t="n">
        <x:v>34.879242115361556</x:v>
      </x:c>
      <x:c r="J110" s="8" t="n">
        <x:v>34.879242115361556</x:v>
      </x:c>
      <x:c r="K110" s="8" t="n">
        <x:v>34.879242115361556</x:v>
      </x:c>
      <x:c r="L110" s="8" t="n">
        <x:v>34.879242115361556</x:v>
      </x:c>
      <x:c r="M110" s="8" t="n">
        <x:v>34.879242115361556</x:v>
      </x:c>
      <x:c r="N110" s="8" t="n">
        <x:v>34.879242115361556</x:v>
      </x:c>
      <x:c r="O110" s="8" t="n">
        <x:v>34.879242115361556</x:v>
      </x:c>
      <x:c r="P110" s="8" t="n">
        <x:v>34.879242115361556</x:v>
      </x:c>
      <x:c r="Q110" s="8" t="n">
        <x:v>34.879242115361556</x:v>
      </x:c>
      <x:c r="R110" s="8" t="n">
        <x:v>34.879242115361556</x:v>
      </x:c>
      <x:c r="S110" s="8" t="n">
        <x:v>34.879242115361556</x:v>
      </x:c>
    </x:row>
    <x:row r="111">
      <x:c r="B111" s="3"/>
      <x:c r="C111" s="3" t="str">
        <x:v>Downside</x:v>
      </x:c>
      <x:c r="D111" s="3"/>
      <x:c r="E111" s="3"/>
      <x:c r="F111" s="3"/>
      <x:c r="G111" s="3"/>
      <x:c r="H111" s="8" t="n">
        <x:v>24.26382060199065</x:v>
      </x:c>
      <x:c r="I111" s="8" t="n">
        <x:v>24.26382060199065</x:v>
      </x:c>
      <x:c r="J111" s="8" t="n">
        <x:v>24.26382060199065</x:v>
      </x:c>
      <x:c r="K111" s="8" t="n">
        <x:v>24.26382060199065</x:v>
      </x:c>
      <x:c r="L111" s="8" t="n">
        <x:v>24.26382060199065</x:v>
      </x:c>
      <x:c r="M111" s="8" t="n">
        <x:v>24.26382060199065</x:v>
      </x:c>
      <x:c r="N111" s="8" t="n">
        <x:v>24.26382060199065</x:v>
      </x:c>
      <x:c r="O111" s="8" t="n">
        <x:v>24.26382060199065</x:v>
      </x:c>
      <x:c r="P111" s="8" t="n">
        <x:v>24.26382060199065</x:v>
      </x:c>
      <x:c r="Q111" s="8" t="n">
        <x:v>24.26382060199065</x:v>
      </x:c>
      <x:c r="R111" s="8" t="n">
        <x:v>24.26382060199065</x:v>
      </x:c>
      <x:c r="S111" s="8" t="n">
        <x:v>24.26382060199065</x:v>
      </x:c>
    </x:row>
    <x:row r="112">
      <x:c r="B112" s="9" t="str">
        <x:v>event contracts per customer b</x:v>
      </x:c>
      <x:c r="C112" s="9" t="str">
        <x:v>ACTIVE</x:v>
      </x:c>
      <x:c r="D112" s="9" t="str">
        <x:v>billions of contracts per million customers</x:v>
      </x:c>
      <x:c r="E112" s="9" t="str">
        <x:v>2026Q1–Q2 event units; July/August 2026 partial</x:v>
      </x:c>
      <x:c r="F112" s="9"/>
      <x:c r="G112" s="9"/>
      <x:c r="H112" s="9" t="n">
        <x:f>CHOOSE($D$4,H113,H114,H115)</x:f>
        <x:v>0.5674255691768827</x:v>
      </x:c>
      <x:c r="I112" s="9" t="n">
        <x:f>CHOOSE($D$4,I113,I114,I115)</x:f>
        <x:v>0.5674255691768827</x:v>
      </x:c>
      <x:c r="J112" s="9" t="n">
        <x:f>CHOOSE($D$4,J113,J114,J115)</x:f>
        <x:v>0.5674255691768827</x:v>
      </x:c>
      <x:c r="K112" s="9" t="n">
        <x:f>CHOOSE($D$4,K113,K114,K115)</x:f>
        <x:v>0.5674255691768827</x:v>
      </x:c>
      <x:c r="L112" s="9" t="n">
        <x:f>CHOOSE($D$4,L113,L114,L115)</x:f>
        <x:v>0.5674255691768827</x:v>
      </x:c>
      <x:c r="M112" s="9" t="n">
        <x:f>CHOOSE($D$4,M113,M114,M115)</x:f>
        <x:v>0.5674255691768827</x:v>
      </x:c>
      <x:c r="N112" s="9" t="n">
        <x:f>CHOOSE($D$4,N113,N114,N115)</x:f>
        <x:v>0.5674255691768827</x:v>
      </x:c>
      <x:c r="O112" s="9" t="n">
        <x:f>CHOOSE($D$4,O113,O114,O115)</x:f>
        <x:v>0.5674255691768827</x:v>
      </x:c>
      <x:c r="P112" s="9" t="n">
        <x:f>CHOOSE($D$4,P113,P114,P115)</x:f>
        <x:v>0.5674255691768827</x:v>
      </x:c>
      <x:c r="Q112" s="9" t="n">
        <x:f>CHOOSE($D$4,Q113,Q114,Q115)</x:f>
        <x:v>0.5674255691768827</x:v>
      </x:c>
      <x:c r="R112" s="9" t="n">
        <x:f>CHOOSE($D$4,R113,R114,R115)</x:f>
        <x:v>0.5674255691768827</x:v>
      </x:c>
      <x:c r="S112" s="9" t="n">
        <x:f>CHOOSE($D$4,S113,S114,S115)</x:f>
        <x:v>0.5674255691768827</x:v>
      </x:c>
    </x:row>
    <x:row r="113">
      <x:c r="B113" s="3"/>
      <x:c r="C113" s="3" t="str">
        <x:v>Base</x:v>
      </x:c>
      <x:c r="D113" s="3"/>
      <x:c r="E113" s="3"/>
      <x:c r="F113" s="3"/>
      <x:c r="G113" s="3"/>
      <x:c r="H113" s="8" t="n">
        <x:v>0.5674255691768827</x:v>
      </x:c>
      <x:c r="I113" s="8" t="n">
        <x:v>0.5674255691768827</x:v>
      </x:c>
      <x:c r="J113" s="8" t="n">
        <x:v>0.5674255691768827</x:v>
      </x:c>
      <x:c r="K113" s="8" t="n">
        <x:v>0.5674255691768827</x:v>
      </x:c>
      <x:c r="L113" s="8" t="n">
        <x:v>0.5674255691768827</x:v>
      </x:c>
      <x:c r="M113" s="8" t="n">
        <x:v>0.5674255691768827</x:v>
      </x:c>
      <x:c r="N113" s="8" t="n">
        <x:v>0.5674255691768827</x:v>
      </x:c>
      <x:c r="O113" s="8" t="n">
        <x:v>0.5674255691768827</x:v>
      </x:c>
      <x:c r="P113" s="8" t="n">
        <x:v>0.5674255691768827</x:v>
      </x:c>
      <x:c r="Q113" s="8" t="n">
        <x:v>0.5674255691768827</x:v>
      </x:c>
      <x:c r="R113" s="8" t="n">
        <x:v>0.5674255691768827</x:v>
      </x:c>
      <x:c r="S113" s="8" t="n">
        <x:v>0.5674255691768827</x:v>
      </x:c>
    </x:row>
    <x:row r="114">
      <x:c r="B114" s="3"/>
      <x:c r="C114" s="3" t="str">
        <x:v>Upside</x:v>
      </x:c>
      <x:c r="D114" s="3"/>
      <x:c r="E114" s="3"/>
      <x:c r="F114" s="3"/>
      <x:c r="G114" s="3"/>
      <x:c r="H114" s="8" t="n">
        <x:v>0.6525394045534151</x:v>
      </x:c>
      <x:c r="I114" s="8" t="n">
        <x:v>0.6525394045534151</x:v>
      </x:c>
      <x:c r="J114" s="8" t="n">
        <x:v>0.6525394045534151</x:v>
      </x:c>
      <x:c r="K114" s="8" t="n">
        <x:v>0.6525394045534151</x:v>
      </x:c>
      <x:c r="L114" s="8" t="n">
        <x:v>0.6525394045534151</x:v>
      </x:c>
      <x:c r="M114" s="8" t="n">
        <x:v>0.6525394045534151</x:v>
      </x:c>
      <x:c r="N114" s="8" t="n">
        <x:v>0.6525394045534151</x:v>
      </x:c>
      <x:c r="O114" s="8" t="n">
        <x:v>0.6525394045534151</x:v>
      </x:c>
      <x:c r="P114" s="8" t="n">
        <x:v>0.6525394045534151</x:v>
      </x:c>
      <x:c r="Q114" s="8" t="n">
        <x:v>0.6525394045534151</x:v>
      </x:c>
      <x:c r="R114" s="8" t="n">
        <x:v>0.6525394045534151</x:v>
      </x:c>
      <x:c r="S114" s="8" t="n">
        <x:v>0.6525394045534151</x:v>
      </x:c>
    </x:row>
    <x:row r="115">
      <x:c r="B115" s="3"/>
      <x:c r="C115" s="3" t="str">
        <x:v>Downside</x:v>
      </x:c>
      <x:c r="D115" s="3"/>
      <x:c r="E115" s="3"/>
      <x:c r="F115" s="3"/>
      <x:c r="G115" s="3"/>
      <x:c r="H115" s="8" t="n">
        <x:v>0.4539404553415062</x:v>
      </x:c>
      <x:c r="I115" s="8" t="n">
        <x:v>0.4539404553415062</x:v>
      </x:c>
      <x:c r="J115" s="8" t="n">
        <x:v>0.4539404553415062</x:v>
      </x:c>
      <x:c r="K115" s="8" t="n">
        <x:v>0.4539404553415062</x:v>
      </x:c>
      <x:c r="L115" s="8" t="n">
        <x:v>0.4539404553415062</x:v>
      </x:c>
      <x:c r="M115" s="8" t="n">
        <x:v>0.4539404553415062</x:v>
      </x:c>
      <x:c r="N115" s="8" t="n">
        <x:v>0.4539404553415062</x:v>
      </x:c>
      <x:c r="O115" s="8" t="n">
        <x:v>0.4539404553415062</x:v>
      </x:c>
      <x:c r="P115" s="8" t="n">
        <x:v>0.4539404553415062</x:v>
      </x:c>
      <x:c r="Q115" s="8" t="n">
        <x:v>0.4539404553415062</x:v>
      </x:c>
      <x:c r="R115" s="8" t="n">
        <x:v>0.4539404553415062</x:v>
      </x:c>
      <x:c r="S115" s="8" t="n">
        <x:v>0.4539404553415062</x:v>
      </x:c>
    </x:row>
    <x:row r="116">
      <x:c r="B116" s="9" t="str">
        <x:v>event revenue per contract usd</x:v>
      </x:c>
      <x:c r="C116" s="9" t="str">
        <x:v>ACTIVE</x:v>
      </x:c>
      <x:c r="D116" s="9" t="str">
        <x:v>USD per contract</x:v>
      </x:c>
      <x:c r="E116" s="9" t="str">
        <x:v>2026Q1–Q2 matched event revenue/units</x:v>
      </x:c>
      <x:c r="F116" s="9"/>
      <x:c r="G116" s="9"/>
      <x:c r="H116" s="9" t="n">
        <x:f>CHOOSE($D$4,H117,H118,H119)</x:f>
        <x:v>0.011644385026737968</x:v>
      </x:c>
      <x:c r="I116" s="9" t="n">
        <x:f>CHOOSE($D$4,I117,I118,I119)</x:f>
        <x:v>0.011644385026737968</x:v>
      </x:c>
      <x:c r="J116" s="9" t="n">
        <x:f>CHOOSE($D$4,J117,J118,J119)</x:f>
        <x:v>0.011644385026737968</x:v>
      </x:c>
      <x:c r="K116" s="9" t="n">
        <x:f>CHOOSE($D$4,K117,K118,K119)</x:f>
        <x:v>0.011644385026737968</x:v>
      </x:c>
      <x:c r="L116" s="9" t="n">
        <x:f>CHOOSE($D$4,L117,L118,L119)</x:f>
        <x:v>0.011644385026737968</x:v>
      </x:c>
      <x:c r="M116" s="9" t="n">
        <x:f>CHOOSE($D$4,M117,M118,M119)</x:f>
        <x:v>0.011644385026737968</x:v>
      </x:c>
      <x:c r="N116" s="9" t="n">
        <x:f>CHOOSE($D$4,N117,N118,N119)</x:f>
        <x:v>0.011644385026737968</x:v>
      </x:c>
      <x:c r="O116" s="9" t="n">
        <x:f>CHOOSE($D$4,O117,O118,O119)</x:f>
        <x:v>0.011644385026737968</x:v>
      </x:c>
      <x:c r="P116" s="9" t="n">
        <x:f>CHOOSE($D$4,P117,P118,P119)</x:f>
        <x:v>0.011644385026737968</x:v>
      </x:c>
      <x:c r="Q116" s="9" t="n">
        <x:f>CHOOSE($D$4,Q117,Q118,Q119)</x:f>
        <x:v>0.011644385026737968</x:v>
      </x:c>
      <x:c r="R116" s="9" t="n">
        <x:f>CHOOSE($D$4,R117,R118,R119)</x:f>
        <x:v>0.011644385026737968</x:v>
      </x:c>
      <x:c r="S116" s="9" t="n">
        <x:f>CHOOSE($D$4,S117,S118,S119)</x:f>
        <x:v>0.011644385026737968</x:v>
      </x:c>
    </x:row>
    <x:row r="117">
      <x:c r="B117" s="3"/>
      <x:c r="C117" s="3" t="str">
        <x:v>Base</x:v>
      </x:c>
      <x:c r="D117" s="3"/>
      <x:c r="E117" s="3"/>
      <x:c r="F117" s="3"/>
      <x:c r="G117" s="3"/>
      <x:c r="H117" s="8" t="n">
        <x:v>0.011644385026737968</x:v>
      </x:c>
      <x:c r="I117" s="8" t="n">
        <x:v>0.011644385026737968</x:v>
      </x:c>
      <x:c r="J117" s="8" t="n">
        <x:v>0.011644385026737968</x:v>
      </x:c>
      <x:c r="K117" s="8" t="n">
        <x:v>0.011644385026737968</x:v>
      </x:c>
      <x:c r="L117" s="8" t="n">
        <x:v>0.011644385026737968</x:v>
      </x:c>
      <x:c r="M117" s="8" t="n">
        <x:v>0.011644385026737968</x:v>
      </x:c>
      <x:c r="N117" s="8" t="n">
        <x:v>0.011644385026737968</x:v>
      </x:c>
      <x:c r="O117" s="8" t="n">
        <x:v>0.011644385026737968</x:v>
      </x:c>
      <x:c r="P117" s="8" t="n">
        <x:v>0.011644385026737968</x:v>
      </x:c>
      <x:c r="Q117" s="8" t="n">
        <x:v>0.011644385026737968</x:v>
      </x:c>
      <x:c r="R117" s="8" t="n">
        <x:v>0.011644385026737968</x:v>
      </x:c>
      <x:c r="S117" s="8" t="n">
        <x:v>0.011644385026737968</x:v>
      </x:c>
    </x:row>
    <x:row r="118">
      <x:c r="B118" s="3"/>
      <x:c r="C118" s="3" t="str">
        <x:v>Upside</x:v>
      </x:c>
      <x:c r="D118" s="3"/>
      <x:c r="E118" s="3"/>
      <x:c r="F118" s="3"/>
      <x:c r="G118" s="3"/>
      <x:c r="H118" s="8" t="n">
        <x:v>0.011644385026737968</x:v>
      </x:c>
      <x:c r="I118" s="8" t="n">
        <x:v>0.011644385026737968</x:v>
      </x:c>
      <x:c r="J118" s="8" t="n">
        <x:v>0.011644385026737968</x:v>
      </x:c>
      <x:c r="K118" s="8" t="n">
        <x:v>0.011644385026737968</x:v>
      </x:c>
      <x:c r="L118" s="8" t="n">
        <x:v>0.011644385026737968</x:v>
      </x:c>
      <x:c r="M118" s="8" t="n">
        <x:v>0.011644385026737968</x:v>
      </x:c>
      <x:c r="N118" s="8" t="n">
        <x:v>0.011644385026737968</x:v>
      </x:c>
      <x:c r="O118" s="8" t="n">
        <x:v>0.011644385026737968</x:v>
      </x:c>
      <x:c r="P118" s="8" t="n">
        <x:v>0.011644385026737968</x:v>
      </x:c>
      <x:c r="Q118" s="8" t="n">
        <x:v>0.011644385026737968</x:v>
      </x:c>
      <x:c r="R118" s="8" t="n">
        <x:v>0.011644385026737968</x:v>
      </x:c>
      <x:c r="S118" s="8" t="n">
        <x:v>0.011644385026737968</x:v>
      </x:c>
    </x:row>
    <x:row r="119">
      <x:c r="B119" s="3"/>
      <x:c r="C119" s="3" t="str">
        <x:v>Downside</x:v>
      </x:c>
      <x:c r="D119" s="3"/>
      <x:c r="E119" s="3"/>
      <x:c r="F119" s="3"/>
      <x:c r="G119" s="3"/>
      <x:c r="H119" s="8" t="n">
        <x:v>0.011062165775401069</x:v>
      </x:c>
      <x:c r="I119" s="8" t="n">
        <x:v>0.011062165775401069</x:v>
      </x:c>
      <x:c r="J119" s="8" t="n">
        <x:v>0.011062165775401069</x:v>
      </x:c>
      <x:c r="K119" s="8" t="n">
        <x:v>0.011062165775401069</x:v>
      </x:c>
      <x:c r="L119" s="8" t="n">
        <x:v>0.011062165775401069</x:v>
      </x:c>
      <x:c r="M119" s="8" t="n">
        <x:v>0.011062165775401069</x:v>
      </x:c>
      <x:c r="N119" s="8" t="n">
        <x:v>0.011062165775401069</x:v>
      </x:c>
      <x:c r="O119" s="8" t="n">
        <x:v>0.011062165775401069</x:v>
      </x:c>
      <x:c r="P119" s="8" t="n">
        <x:v>0.011062165775401069</x:v>
      </x:c>
      <x:c r="Q119" s="8" t="n">
        <x:v>0.011062165775401069</x:v>
      </x:c>
      <x:c r="R119" s="8" t="n">
        <x:v>0.011062165775401069</x:v>
      </x:c>
      <x:c r="S119" s="8" t="n">
        <x:v>0.011062165775401069</x:v>
      </x:c>
    </x:row>
    <x:row r="120">
      <x:c r="B120" s="9" t="str">
        <x:v>general base m</x:v>
      </x:c>
      <x:c r="C120" s="9" t="str">
        <x:v>ACTIVE</x:v>
      </x:c>
      <x:c r="D120" s="9" t="str">
        <x:v>USD millions</x:v>
      </x:c>
      <x:c r="E120" s="9" t="str">
        <x:v>Q2 $199m less $23m restructuring; +$15m H2 operating allowance</x:v>
      </x:c>
      <x:c r="F120" s="9"/>
      <x:c r="G120" s="9"/>
      <x:c r="H120" s="9" t="n">
        <x:f>CHOOSE($D$4,H121,H122,H123)</x:f>
        <x:v>191</x:v>
      </x:c>
      <x:c r="I120" s="9" t="n">
        <x:f>CHOOSE($D$4,I121,I122,I123)</x:f>
        <x:v>191</x:v>
      </x:c>
      <x:c r="J120" s="9" t="n">
        <x:f>CHOOSE($D$4,J121,J122,J123)</x:f>
        <x:v>193</x:v>
      </x:c>
      <x:c r="K120" s="9" t="n">
        <x:f>CHOOSE($D$4,K121,K122,K123)</x:f>
        <x:v>195</x:v>
      </x:c>
      <x:c r="L120" s="9" t="n">
        <x:f>CHOOSE($D$4,L121,L122,L123)</x:f>
        <x:v>197</x:v>
      </x:c>
      <x:c r="M120" s="9" t="n">
        <x:f>CHOOSE($D$4,M121,M122,M123)</x:f>
        <x:v>199</x:v>
      </x:c>
      <x:c r="N120" s="9" t="n">
        <x:f>CHOOSE($D$4,N121,N122,N123)</x:f>
        <x:v>201</x:v>
      </x:c>
      <x:c r="O120" s="9" t="n">
        <x:f>CHOOSE($D$4,O121,O122,O123)</x:f>
        <x:v>203</x:v>
      </x:c>
      <x:c r="P120" s="9" t="n">
        <x:f>CHOOSE($D$4,P121,P122,P123)</x:f>
        <x:v>205</x:v>
      </x:c>
      <x:c r="Q120" s="9" t="n">
        <x:f>CHOOSE($D$4,Q121,Q122,Q123)</x:f>
        <x:v>207</x:v>
      </x:c>
      <x:c r="R120" s="9" t="n">
        <x:f>CHOOSE($D$4,R121,R122,R123)</x:f>
        <x:v>209</x:v>
      </x:c>
      <x:c r="S120" s="9" t="n">
        <x:f>CHOOSE($D$4,S121,S122,S123)</x:f>
        <x:v>211</x:v>
      </x:c>
    </x:row>
    <x:row r="121">
      <x:c r="B121" s="3"/>
      <x:c r="C121" s="3" t="str">
        <x:v>Base</x:v>
      </x:c>
      <x:c r="D121" s="3"/>
      <x:c r="E121" s="3"/>
      <x:c r="F121" s="3"/>
      <x:c r="G121" s="3"/>
      <x:c r="H121" s="8" t="n">
        <x:v>191</x:v>
      </x:c>
      <x:c r="I121" s="8" t="n">
        <x:v>191</x:v>
      </x:c>
      <x:c r="J121" s="8" t="n">
        <x:v>193</x:v>
      </x:c>
      <x:c r="K121" s="8" t="n">
        <x:v>195</x:v>
      </x:c>
      <x:c r="L121" s="8" t="n">
        <x:v>197</x:v>
      </x:c>
      <x:c r="M121" s="8" t="n">
        <x:v>199</x:v>
      </x:c>
      <x:c r="N121" s="8" t="n">
        <x:v>201</x:v>
      </x:c>
      <x:c r="O121" s="8" t="n">
        <x:v>203</x:v>
      </x:c>
      <x:c r="P121" s="8" t="n">
        <x:v>205</x:v>
      </x:c>
      <x:c r="Q121" s="8" t="n">
        <x:v>207</x:v>
      </x:c>
      <x:c r="R121" s="8" t="n">
        <x:v>209</x:v>
      </x:c>
      <x:c r="S121" s="8" t="n">
        <x:v>211</x:v>
      </x:c>
    </x:row>
    <x:row r="122">
      <x:c r="B122" s="3"/>
      <x:c r="C122" s="3" t="str">
        <x:v>Upside</x:v>
      </x:c>
      <x:c r="D122" s="3"/>
      <x:c r="E122" s="3"/>
      <x:c r="F122" s="3"/>
      <x:c r="G122" s="3"/>
      <x:c r="H122" s="8" t="n">
        <x:v>191</x:v>
      </x:c>
      <x:c r="I122" s="8" t="n">
        <x:v>191</x:v>
      </x:c>
      <x:c r="J122" s="8" t="n">
        <x:v>194</x:v>
      </x:c>
      <x:c r="K122" s="8" t="n">
        <x:v>197</x:v>
      </x:c>
      <x:c r="L122" s="8" t="n">
        <x:v>200</x:v>
      </x:c>
      <x:c r="M122" s="8" t="n">
        <x:v>203</x:v>
      </x:c>
      <x:c r="N122" s="8" t="n">
        <x:v>206</x:v>
      </x:c>
      <x:c r="O122" s="8" t="n">
        <x:v>209</x:v>
      </x:c>
      <x:c r="P122" s="8" t="n">
        <x:v>212</x:v>
      </x:c>
      <x:c r="Q122" s="8" t="n">
        <x:v>215</x:v>
      </x:c>
      <x:c r="R122" s="8" t="n">
        <x:v>218</x:v>
      </x:c>
      <x:c r="S122" s="8" t="n">
        <x:v>221</x:v>
      </x:c>
    </x:row>
    <x:row r="123">
      <x:c r="B123" s="3"/>
      <x:c r="C123" s="3" t="str">
        <x:v>Downside</x:v>
      </x:c>
      <x:c r="D123" s="3"/>
      <x:c r="E123" s="3"/>
      <x:c r="F123" s="3"/>
      <x:c r="G123" s="3"/>
      <x:c r="H123" s="8" t="n">
        <x:v>191</x:v>
      </x:c>
      <x:c r="I123" s="8" t="n">
        <x:v>191</x:v>
      </x:c>
      <x:c r="J123" s="8" t="n">
        <x:v>192.5</x:v>
      </x:c>
      <x:c r="K123" s="8" t="n">
        <x:v>194</x:v>
      </x:c>
      <x:c r="L123" s="8" t="n">
        <x:v>195.5</x:v>
      </x:c>
      <x:c r="M123" s="8" t="n">
        <x:v>197</x:v>
      </x:c>
      <x:c r="N123" s="8" t="n">
        <x:v>198.5</x:v>
      </x:c>
      <x:c r="O123" s="8" t="n">
        <x:v>200</x:v>
      </x:c>
      <x:c r="P123" s="8" t="n">
        <x:v>201.5</x:v>
      </x:c>
      <x:c r="Q123" s="8" t="n">
        <x:v>203</x:v>
      </x:c>
      <x:c r="R123" s="8" t="n">
        <x:v>204.5</x:v>
      </x:c>
      <x:c r="S123" s="8" t="n">
        <x:v>206</x:v>
      </x:c>
    </x:row>
    <x:row r="124">
      <x:c r="B124" s="9" t="str">
        <x:v>gold net subscriber additions m</x:v>
      </x:c>
      <x:c r="C124" s="9" t="str">
        <x:v>ACTIVE</x:v>
      </x:c>
      <x:c r="D124" s="9" t="str">
        <x:v>millions</x:v>
      </x:c>
      <x:c r="E124" s="9" t="str">
        <x:v>2025Q4–2026Q2 quarter-end Gold subscribers 4.2/4.3/4.8m</x:v>
      </x:c>
      <x:c r="F124" s="9"/>
      <x:c r="G124" s="9"/>
      <x:c r="H124" s="9" t="n">
        <x:f>CHOOSE($D$4,H125,H126,H127)</x:f>
        <x:v>0.2</x:v>
      </x:c>
      <x:c r="I124" s="9" t="n">
        <x:f>CHOOSE($D$4,I125,I126,I127)</x:f>
        <x:v>0.2</x:v>
      </x:c>
      <x:c r="J124" s="9" t="n">
        <x:f>CHOOSE($D$4,J125,J126,J127)</x:f>
        <x:v>0.2</x:v>
      </x:c>
      <x:c r="K124" s="9" t="n">
        <x:f>CHOOSE($D$4,K125,K126,K127)</x:f>
        <x:v>0.2</x:v>
      </x:c>
      <x:c r="L124" s="9" t="n">
        <x:f>CHOOSE($D$4,L125,L126,L127)</x:f>
        <x:v>0.2</x:v>
      </x:c>
      <x:c r="M124" s="9" t="n">
        <x:f>CHOOSE($D$4,M125,M126,M127)</x:f>
        <x:v>0.2</x:v>
      </x:c>
      <x:c r="N124" s="9" t="n">
        <x:f>CHOOSE($D$4,N125,N126,N127)</x:f>
        <x:v>0.2</x:v>
      </x:c>
      <x:c r="O124" s="9" t="n">
        <x:f>CHOOSE($D$4,O125,O126,O127)</x:f>
        <x:v>0.2</x:v>
      </x:c>
      <x:c r="P124" s="9" t="n">
        <x:f>CHOOSE($D$4,P125,P126,P127)</x:f>
        <x:v>0.2</x:v>
      </x:c>
      <x:c r="Q124" s="9" t="n">
        <x:f>CHOOSE($D$4,Q125,Q126,Q127)</x:f>
        <x:v>0.2</x:v>
      </x:c>
      <x:c r="R124" s="9" t="n">
        <x:f>CHOOSE($D$4,R125,R126,R127)</x:f>
        <x:v>0.2</x:v>
      </x:c>
      <x:c r="S124" s="9" t="n">
        <x:f>CHOOSE($D$4,S125,S126,S127)</x:f>
        <x:v>0.2</x:v>
      </x:c>
    </x:row>
    <x:row r="125">
      <x:c r="B125" s="3"/>
      <x:c r="C125" s="3" t="str">
        <x:v>Base</x:v>
      </x:c>
      <x:c r="D125" s="3"/>
      <x:c r="E125" s="3"/>
      <x:c r="F125" s="3"/>
      <x:c r="G125" s="3"/>
      <x:c r="H125" s="8" t="n">
        <x:v>0.2</x:v>
      </x:c>
      <x:c r="I125" s="8" t="n">
        <x:v>0.2</x:v>
      </x:c>
      <x:c r="J125" s="8" t="n">
        <x:v>0.2</x:v>
      </x:c>
      <x:c r="K125" s="8" t="n">
        <x:v>0.2</x:v>
      </x:c>
      <x:c r="L125" s="8" t="n">
        <x:v>0.2</x:v>
      </x:c>
      <x:c r="M125" s="8" t="n">
        <x:v>0.2</x:v>
      </x:c>
      <x:c r="N125" s="8" t="n">
        <x:v>0.2</x:v>
      </x:c>
      <x:c r="O125" s="8" t="n">
        <x:v>0.2</x:v>
      </x:c>
      <x:c r="P125" s="8" t="n">
        <x:v>0.2</x:v>
      </x:c>
      <x:c r="Q125" s="8" t="n">
        <x:v>0.2</x:v>
      </x:c>
      <x:c r="R125" s="8" t="n">
        <x:v>0.2</x:v>
      </x:c>
      <x:c r="S125" s="8" t="n">
        <x:v>0.2</x:v>
      </x:c>
    </x:row>
    <x:row r="126">
      <x:c r="B126" s="3"/>
      <x:c r="C126" s="3" t="str">
        <x:v>Upside</x:v>
      </x:c>
      <x:c r="D126" s="3"/>
      <x:c r="E126" s="3"/>
      <x:c r="F126" s="3"/>
      <x:c r="G126" s="3"/>
      <x:c r="H126" s="8" t="n">
        <x:v>0.3</x:v>
      </x:c>
      <x:c r="I126" s="8" t="n">
        <x:v>0.3</x:v>
      </x:c>
      <x:c r="J126" s="8" t="n">
        <x:v>0.3</x:v>
      </x:c>
      <x:c r="K126" s="8" t="n">
        <x:v>0.3</x:v>
      </x:c>
      <x:c r="L126" s="8" t="n">
        <x:v>0.3</x:v>
      </x:c>
      <x:c r="M126" s="8" t="n">
        <x:v>0.3</x:v>
      </x:c>
      <x:c r="N126" s="8" t="n">
        <x:v>0.3</x:v>
      </x:c>
      <x:c r="O126" s="8" t="n">
        <x:v>0.3</x:v>
      </x:c>
      <x:c r="P126" s="8" t="n">
        <x:v>0.3</x:v>
      </x:c>
      <x:c r="Q126" s="8" t="n">
        <x:v>0.3</x:v>
      </x:c>
      <x:c r="R126" s="8" t="n">
        <x:v>0.3</x:v>
      </x:c>
      <x:c r="S126" s="8" t="n">
        <x:v>0.3</x:v>
      </x:c>
    </x:row>
    <x:row r="127">
      <x:c r="B127" s="3"/>
      <x:c r="C127" s="3" t="str">
        <x:v>Downside</x:v>
      </x:c>
      <x:c r="D127" s="3"/>
      <x:c r="E127" s="3"/>
      <x:c r="F127" s="3"/>
      <x:c r="G127" s="3"/>
      <x:c r="H127" s="8" t="n">
        <x:v>0.1</x:v>
      </x:c>
      <x:c r="I127" s="8" t="n">
        <x:v>0.1</x:v>
      </x:c>
      <x:c r="J127" s="8" t="n">
        <x:v>0.1</x:v>
      </x:c>
      <x:c r="K127" s="8" t="n">
        <x:v>0.1</x:v>
      </x:c>
      <x:c r="L127" s="8" t="n">
        <x:v>0.1</x:v>
      </x:c>
      <x:c r="M127" s="8" t="n">
        <x:v>0.1</x:v>
      </x:c>
      <x:c r="N127" s="8" t="n">
        <x:v>0.1</x:v>
      </x:c>
      <x:c r="O127" s="8" t="n">
        <x:v>0.1</x:v>
      </x:c>
      <x:c r="P127" s="8" t="n">
        <x:v>0.1</x:v>
      </x:c>
      <x:c r="Q127" s="8" t="n">
        <x:v>0.1</x:v>
      </x:c>
      <x:c r="R127" s="8" t="n">
        <x:v>0.1</x:v>
      </x:c>
      <x:c r="S127" s="8" t="n">
        <x:v>0.1</x:v>
      </x:c>
    </x:row>
    <x:row r="128">
      <x:c r="B128" s="9" t="str">
        <x:v>gold revenue per avg subscriber usd</x:v>
      </x:c>
      <x:c r="C128" s="9" t="str">
        <x:v>ACTIVE</x:v>
      </x:c>
      <x:c r="D128" s="9" t="str">
        <x:v>USD per subscriber per quarter</x:v>
      </x:c>
      <x:c r="E128" s="9" t="str">
        <x:v>2026Q1–Q2 Gold revenue / average subscribers</x:v>
      </x:c>
      <x:c r="F128" s="9"/>
      <x:c r="G128" s="9"/>
      <x:c r="H128" s="9" t="n">
        <x:f>CHOOSE($D$4,H129,H130,H131)</x:f>
        <x:v>11.816418875242405</x:v>
      </x:c>
      <x:c r="I128" s="9" t="n">
        <x:f>CHOOSE($D$4,I129,I130,I131)</x:f>
        <x:v>11.816418875242405</x:v>
      </x:c>
      <x:c r="J128" s="9" t="n">
        <x:f>CHOOSE($D$4,J129,J130,J131)</x:f>
        <x:v>11.816418875242405</x:v>
      </x:c>
      <x:c r="K128" s="9" t="n">
        <x:f>CHOOSE($D$4,K129,K130,K131)</x:f>
        <x:v>11.816418875242405</x:v>
      </x:c>
      <x:c r="L128" s="9" t="n">
        <x:f>CHOOSE($D$4,L129,L130,L131)</x:f>
        <x:v>11.816418875242405</x:v>
      </x:c>
      <x:c r="M128" s="9" t="n">
        <x:f>CHOOSE($D$4,M129,M130,M131)</x:f>
        <x:v>11.816418875242405</x:v>
      </x:c>
      <x:c r="N128" s="9" t="n">
        <x:f>CHOOSE($D$4,N129,N130,N131)</x:f>
        <x:v>11.816418875242405</x:v>
      </x:c>
      <x:c r="O128" s="9" t="n">
        <x:f>CHOOSE($D$4,O129,O130,O131)</x:f>
        <x:v>11.816418875242405</x:v>
      </x:c>
      <x:c r="P128" s="9" t="n">
        <x:f>CHOOSE($D$4,P129,P130,P131)</x:f>
        <x:v>11.816418875242405</x:v>
      </x:c>
      <x:c r="Q128" s="9" t="n">
        <x:f>CHOOSE($D$4,Q129,Q130,Q131)</x:f>
        <x:v>11.816418875242405</x:v>
      </x:c>
      <x:c r="R128" s="9" t="n">
        <x:f>CHOOSE($D$4,R129,R130,R131)</x:f>
        <x:v>11.816418875242405</x:v>
      </x:c>
      <x:c r="S128" s="9" t="n">
        <x:f>CHOOSE($D$4,S129,S130,S131)</x:f>
        <x:v>11.816418875242405</x:v>
      </x:c>
    </x:row>
    <x:row r="129">
      <x:c r="B129" s="3"/>
      <x:c r="C129" s="3" t="str">
        <x:v>Base</x:v>
      </x:c>
      <x:c r="D129" s="3"/>
      <x:c r="E129" s="3"/>
      <x:c r="F129" s="3"/>
      <x:c r="G129" s="3"/>
      <x:c r="H129" s="8" t="n">
        <x:v>11.816418875242405</x:v>
      </x:c>
      <x:c r="I129" s="8" t="n">
        <x:v>11.816418875242405</x:v>
      </x:c>
      <x:c r="J129" s="8" t="n">
        <x:v>11.816418875242405</x:v>
      </x:c>
      <x:c r="K129" s="8" t="n">
        <x:v>11.816418875242405</x:v>
      </x:c>
      <x:c r="L129" s="8" t="n">
        <x:v>11.816418875242405</x:v>
      </x:c>
      <x:c r="M129" s="8" t="n">
        <x:v>11.816418875242405</x:v>
      </x:c>
      <x:c r="N129" s="8" t="n">
        <x:v>11.816418875242405</x:v>
      </x:c>
      <x:c r="O129" s="8" t="n">
        <x:v>11.816418875242405</x:v>
      </x:c>
      <x:c r="P129" s="8" t="n">
        <x:v>11.816418875242405</x:v>
      </x:c>
      <x:c r="Q129" s="8" t="n">
        <x:v>11.816418875242405</x:v>
      </x:c>
      <x:c r="R129" s="8" t="n">
        <x:v>11.816418875242405</x:v>
      </x:c>
      <x:c r="S129" s="8" t="n">
        <x:v>11.816418875242405</x:v>
      </x:c>
    </x:row>
    <x:row r="130">
      <x:c r="B130" s="3"/>
      <x:c r="C130" s="3" t="str">
        <x:v>Upside</x:v>
      </x:c>
      <x:c r="D130" s="3"/>
      <x:c r="E130" s="3"/>
      <x:c r="F130" s="3"/>
      <x:c r="G130" s="3"/>
      <x:c r="H130" s="8" t="n">
        <x:v>11.816418875242405</x:v>
      </x:c>
      <x:c r="I130" s="8" t="n">
        <x:v>11.816418875242405</x:v>
      </x:c>
      <x:c r="J130" s="8" t="n">
        <x:v>11.816418875242405</x:v>
      </x:c>
      <x:c r="K130" s="8" t="n">
        <x:v>11.816418875242405</x:v>
      </x:c>
      <x:c r="L130" s="8" t="n">
        <x:v>11.816418875242405</x:v>
      </x:c>
      <x:c r="M130" s="8" t="n">
        <x:v>11.816418875242405</x:v>
      </x:c>
      <x:c r="N130" s="8" t="n">
        <x:v>11.816418875242405</x:v>
      </x:c>
      <x:c r="O130" s="8" t="n">
        <x:v>11.816418875242405</x:v>
      </x:c>
      <x:c r="P130" s="8" t="n">
        <x:v>11.816418875242405</x:v>
      </x:c>
      <x:c r="Q130" s="8" t="n">
        <x:v>11.816418875242405</x:v>
      </x:c>
      <x:c r="R130" s="8" t="n">
        <x:v>11.816418875242405</x:v>
      </x:c>
      <x:c r="S130" s="8" t="n">
        <x:v>11.816418875242405</x:v>
      </x:c>
    </x:row>
    <x:row r="131">
      <x:c r="B131" s="3"/>
      <x:c r="C131" s="3" t="str">
        <x:v>Downside</x:v>
      </x:c>
      <x:c r="D131" s="3"/>
      <x:c r="E131" s="3"/>
      <x:c r="F131" s="3"/>
      <x:c r="G131" s="3"/>
      <x:c r="H131" s="3" t="n">
        <x:v>11.225597931480285</x:v>
      </x:c>
      <x:c r="I131" s="3" t="n">
        <x:v>11.225597931480285</x:v>
      </x:c>
      <x:c r="J131" s="3" t="n">
        <x:v>11.225597931480285</x:v>
      </x:c>
      <x:c r="K131" s="3" t="n">
        <x:v>11.225597931480285</x:v>
      </x:c>
      <x:c r="L131" s="3" t="n">
        <x:v>11.225597931480285</x:v>
      </x:c>
      <x:c r="M131" s="3" t="n">
        <x:v>11.225597931480285</x:v>
      </x:c>
      <x:c r="N131" s="3" t="n">
        <x:v>11.225597931480285</x:v>
      </x:c>
      <x:c r="O131" s="3" t="n">
        <x:v>11.225597931480285</x:v>
      </x:c>
      <x:c r="P131" s="3" t="n">
        <x:v>11.225597931480285</x:v>
      </x:c>
      <x:c r="Q131" s="3" t="n">
        <x:v>11.225597931480285</x:v>
      </x:c>
      <x:c r="R131" s="3" t="n">
        <x:v>11.225597931480285</x:v>
      </x:c>
      <x:c r="S131" s="3" t="n">
        <x:v>11.225597931480285</x:v>
      </x:c>
    </x:row>
    <x:row r="132">
      <x:c r="B132" s="9" t="str">
        <x:v>interest remainder m</x:v>
      </x:c>
      <x:c r="C132" s="9" t="str">
        <x:v>ACTIVE</x:v>
      </x:c>
      <x:c r="D132" s="9" t="str">
        <x:v>USD millions</x:v>
      </x:c>
      <x:c r="E132" s="9" t="str">
        <x:v>2026Q2 NIR $389m less disclosed interest-asset revenue $387m</x:v>
      </x:c>
      <x:c r="F132" s="9"/>
      <x:c r="G132" s="9"/>
      <x:c r="H132" s="9" t="n">
        <x:f>CHOOSE($D$4,H133,H134,H135)</x:f>
        <x:v>2</x:v>
      </x:c>
      <x:c r="I132" s="9" t="n">
        <x:f>CHOOSE($D$4,I133,I134,I135)</x:f>
        <x:v>2</x:v>
      </x:c>
      <x:c r="J132" s="9" t="n">
        <x:f>CHOOSE($D$4,J133,J134,J135)</x:f>
        <x:v>2</x:v>
      </x:c>
      <x:c r="K132" s="9" t="n">
        <x:f>CHOOSE($D$4,K133,K134,K135)</x:f>
        <x:v>2</x:v>
      </x:c>
      <x:c r="L132" s="9" t="n">
        <x:f>CHOOSE($D$4,L133,L134,L135)</x:f>
        <x:v>2</x:v>
      </x:c>
      <x:c r="M132" s="9" t="n">
        <x:f>CHOOSE($D$4,M133,M134,M135)</x:f>
        <x:v>2</x:v>
      </x:c>
      <x:c r="N132" s="9" t="n">
        <x:f>CHOOSE($D$4,N133,N134,N135)</x:f>
        <x:v>2</x:v>
      </x:c>
      <x:c r="O132" s="9" t="n">
        <x:f>CHOOSE($D$4,O133,O134,O135)</x:f>
        <x:v>2</x:v>
      </x:c>
      <x:c r="P132" s="9" t="n">
        <x:f>CHOOSE($D$4,P133,P134,P135)</x:f>
        <x:v>2</x:v>
      </x:c>
      <x:c r="Q132" s="9" t="n">
        <x:f>CHOOSE($D$4,Q133,Q134,Q135)</x:f>
        <x:v>2</x:v>
      </x:c>
      <x:c r="R132" s="9" t="n">
        <x:f>CHOOSE($D$4,R133,R134,R135)</x:f>
        <x:v>2</x:v>
      </x:c>
      <x:c r="S132" s="9" t="n">
        <x:f>CHOOSE($D$4,S133,S134,S135)</x:f>
        <x:v>2</x:v>
      </x:c>
    </x:row>
    <x:row r="133">
      <x:c r="B133" s="3"/>
      <x:c r="C133" s="3" t="str">
        <x:v>Base</x:v>
      </x:c>
      <x:c r="D133" s="3"/>
      <x:c r="E133" s="3"/>
      <x:c r="F133" s="3"/>
      <x:c r="G133" s="3"/>
      <x:c r="H133" s="3" t="n">
        <x:v>2</x:v>
      </x:c>
      <x:c r="I133" s="3" t="n">
        <x:v>2</x:v>
      </x:c>
      <x:c r="J133" s="3" t="n">
        <x:v>2</x:v>
      </x:c>
      <x:c r="K133" s="3" t="n">
        <x:v>2</x:v>
      </x:c>
      <x:c r="L133" s="3" t="n">
        <x:v>2</x:v>
      </x:c>
      <x:c r="M133" s="3" t="n">
        <x:v>2</x:v>
      </x:c>
      <x:c r="N133" s="3" t="n">
        <x:v>2</x:v>
      </x:c>
      <x:c r="O133" s="3" t="n">
        <x:v>2</x:v>
      </x:c>
      <x:c r="P133" s="3" t="n">
        <x:v>2</x:v>
      </x:c>
      <x:c r="Q133" s="3" t="n">
        <x:v>2</x:v>
      </x:c>
      <x:c r="R133" s="3" t="n">
        <x:v>2</x:v>
      </x:c>
      <x:c r="S133" s="3" t="n">
        <x:v>2</x:v>
      </x:c>
    </x:row>
    <x:row r="134">
      <x:c r="B134" s="3"/>
      <x:c r="C134" s="3" t="str">
        <x:v>Upside</x:v>
      </x:c>
      <x:c r="D134" s="3"/>
      <x:c r="E134" s="3"/>
      <x:c r="F134" s="3"/>
      <x:c r="G134" s="3"/>
      <x:c r="H134" s="3" t="n">
        <x:v>2</x:v>
      </x:c>
      <x:c r="I134" s="3" t="n">
        <x:v>2</x:v>
      </x:c>
      <x:c r="J134" s="3" t="n">
        <x:v>2</x:v>
      </x:c>
      <x:c r="K134" s="3" t="n">
        <x:v>2</x:v>
      </x:c>
      <x:c r="L134" s="3" t="n">
        <x:v>2</x:v>
      </x:c>
      <x:c r="M134" s="3" t="n">
        <x:v>2</x:v>
      </x:c>
      <x:c r="N134" s="3" t="n">
        <x:v>2</x:v>
      </x:c>
      <x:c r="O134" s="3" t="n">
        <x:v>2</x:v>
      </x:c>
      <x:c r="P134" s="3" t="n">
        <x:v>2</x:v>
      </x:c>
      <x:c r="Q134" s="3" t="n">
        <x:v>2</x:v>
      </x:c>
      <x:c r="R134" s="3" t="n">
        <x:v>2</x:v>
      </x:c>
      <x:c r="S134" s="3" t="n">
        <x:v>2</x:v>
      </x:c>
    </x:row>
    <x:row r="135">
      <x:c r="B135" s="3"/>
      <x:c r="C135" s="3" t="str">
        <x:v>Downside</x:v>
      </x:c>
      <x:c r="D135" s="3"/>
      <x:c r="E135" s="3"/>
      <x:c r="F135" s="3"/>
      <x:c r="G135" s="3"/>
      <x:c r="H135" s="3" t="n">
        <x:v>-10</x:v>
      </x:c>
      <x:c r="I135" s="3" t="n">
        <x:v>-10</x:v>
      </x:c>
      <x:c r="J135" s="3" t="n">
        <x:v>-10</x:v>
      </x:c>
      <x:c r="K135" s="3" t="n">
        <x:v>-10</x:v>
      </x:c>
      <x:c r="L135" s="3" t="n">
        <x:v>-10</x:v>
      </x:c>
      <x:c r="M135" s="3" t="n">
        <x:v>-10</x:v>
      </x:c>
      <x:c r="N135" s="3" t="n">
        <x:v>-10</x:v>
      </x:c>
      <x:c r="O135" s="3" t="n">
        <x:v>-10</x:v>
      </x:c>
      <x:c r="P135" s="3" t="n">
        <x:v>-10</x:v>
      </x:c>
      <x:c r="Q135" s="3" t="n">
        <x:v>-10</x:v>
      </x:c>
      <x:c r="R135" s="3" t="n">
        <x:v>-10</x:v>
      </x:c>
      <x:c r="S135" s="3" t="n">
        <x:v>-10</x:v>
      </x:c>
    </x:row>
    <x:row r="136">
      <x:c r="B136" s="9" t="str">
        <x:v>margin balance per customer b</x:v>
      </x:c>
      <x:c r="C136" s="9" t="str">
        <x:v>ACTIVE</x:v>
      </x:c>
      <x:c r="D136" s="9" t="str">
        <x:v>USD billions per million customers</x:v>
      </x:c>
      <x:c r="E136" s="9" t="str">
        <x:v>August 2026 margin book $21.5b / 28.6m customers</x:v>
      </x:c>
      <x:c r="F136" s="9"/>
      <x:c r="G136" s="9"/>
      <x:c r="H136" s="9" t="n">
        <x:f>CHOOSE($D$4,H137,H138,H139)</x:f>
        <x:v>0.7517482517482517</x:v>
      </x:c>
      <x:c r="I136" s="9" t="n">
        <x:f>CHOOSE($D$4,I137,I138,I139)</x:f>
        <x:v>0.7517482517482517</x:v>
      </x:c>
      <x:c r="J136" s="9" t="n">
        <x:f>CHOOSE($D$4,J137,J138,J139)</x:f>
        <x:v>0.7517482517482517</x:v>
      </x:c>
      <x:c r="K136" s="9" t="n">
        <x:f>CHOOSE($D$4,K137,K138,K139)</x:f>
        <x:v>0.7517482517482517</x:v>
      </x:c>
      <x:c r="L136" s="9" t="n">
        <x:f>CHOOSE($D$4,L137,L138,L139)</x:f>
        <x:v>0.7517482517482517</x:v>
      </x:c>
      <x:c r="M136" s="9" t="n">
        <x:f>CHOOSE($D$4,M137,M138,M139)</x:f>
        <x:v>0.7517482517482517</x:v>
      </x:c>
      <x:c r="N136" s="9" t="n">
        <x:f>CHOOSE($D$4,N137,N138,N139)</x:f>
        <x:v>0.7517482517482517</x:v>
      </x:c>
      <x:c r="O136" s="9" t="n">
        <x:f>CHOOSE($D$4,O137,O138,O139)</x:f>
        <x:v>0.7517482517482517</x:v>
      </x:c>
      <x:c r="P136" s="9" t="n">
        <x:f>CHOOSE($D$4,P137,P138,P139)</x:f>
        <x:v>0.7517482517482517</x:v>
      </x:c>
      <x:c r="Q136" s="9" t="n">
        <x:f>CHOOSE($D$4,Q137,Q138,Q139)</x:f>
        <x:v>0.7517482517482517</x:v>
      </x:c>
      <x:c r="R136" s="9" t="n">
        <x:f>CHOOSE($D$4,R137,R138,R139)</x:f>
        <x:v>0.7517482517482517</x:v>
      </x:c>
      <x:c r="S136" s="9" t="n">
        <x:f>CHOOSE($D$4,S137,S138,S139)</x:f>
        <x:v>0.7517482517482517</x:v>
      </x:c>
    </x:row>
    <x:row r="137">
      <x:c r="B137" s="3"/>
      <x:c r="C137" s="3" t="str">
        <x:v>Base</x:v>
      </x:c>
      <x:c r="D137" s="3"/>
      <x:c r="E137" s="3"/>
      <x:c r="F137" s="3"/>
      <x:c r="G137" s="3"/>
      <x:c r="H137" s="3" t="n">
        <x:v>0.7517482517482517</x:v>
      </x:c>
      <x:c r="I137" s="3" t="n">
        <x:v>0.7517482517482517</x:v>
      </x:c>
      <x:c r="J137" s="3" t="n">
        <x:v>0.7517482517482517</x:v>
      </x:c>
      <x:c r="K137" s="3" t="n">
        <x:v>0.7517482517482517</x:v>
      </x:c>
      <x:c r="L137" s="3" t="n">
        <x:v>0.7517482517482517</x:v>
      </x:c>
      <x:c r="M137" s="3" t="n">
        <x:v>0.7517482517482517</x:v>
      </x:c>
      <x:c r="N137" s="3" t="n">
        <x:v>0.7517482517482517</x:v>
      </x:c>
      <x:c r="O137" s="3" t="n">
        <x:v>0.7517482517482517</x:v>
      </x:c>
      <x:c r="P137" s="3" t="n">
        <x:v>0.7517482517482517</x:v>
      </x:c>
      <x:c r="Q137" s="3" t="n">
        <x:v>0.7517482517482517</x:v>
      </x:c>
      <x:c r="R137" s="3" t="n">
        <x:v>0.7517482517482517</x:v>
      </x:c>
      <x:c r="S137" s="3" t="n">
        <x:v>0.7517482517482517</x:v>
      </x:c>
    </x:row>
    <x:row r="138">
      <x:c r="B138" s="3"/>
      <x:c r="C138" s="3" t="str">
        <x:v>Upside</x:v>
      </x:c>
      <x:c r="D138" s="3"/>
      <x:c r="E138" s="3"/>
      <x:c r="F138" s="3"/>
      <x:c r="G138" s="3"/>
      <x:c r="H138" s="3" t="n">
        <x:v>0.8118881118881118</x:v>
      </x:c>
      <x:c r="I138" s="3" t="n">
        <x:v>0.8118881118881118</x:v>
      </x:c>
      <x:c r="J138" s="3" t="n">
        <x:v>0.8118881118881118</x:v>
      </x:c>
      <x:c r="K138" s="3" t="n">
        <x:v>0.8118881118881118</x:v>
      </x:c>
      <x:c r="L138" s="3" t="n">
        <x:v>0.8118881118881118</x:v>
      </x:c>
      <x:c r="M138" s="3" t="n">
        <x:v>0.8118881118881118</x:v>
      </x:c>
      <x:c r="N138" s="3" t="n">
        <x:v>0.8118881118881118</x:v>
      </x:c>
      <x:c r="O138" s="3" t="n">
        <x:v>0.8118881118881118</x:v>
      </x:c>
      <x:c r="P138" s="3" t="n">
        <x:v>0.8118881118881118</x:v>
      </x:c>
      <x:c r="Q138" s="3" t="n">
        <x:v>0.8118881118881118</x:v>
      </x:c>
      <x:c r="R138" s="3" t="n">
        <x:v>0.8118881118881118</x:v>
      </x:c>
      <x:c r="S138" s="3" t="n">
        <x:v>0.8118881118881118</x:v>
      </x:c>
    </x:row>
    <x:row r="139">
      <x:c r="B139" s="3"/>
      <x:c r="C139" s="3" t="str">
        <x:v>Downside</x:v>
      </x:c>
      <x:c r="D139" s="3"/>
      <x:c r="E139" s="3"/>
      <x:c r="F139" s="3"/>
      <x:c r="G139" s="3"/>
      <x:c r="H139" s="3" t="n">
        <x:v>0.6765734265734266</x:v>
      </x:c>
      <x:c r="I139" s="3" t="n">
        <x:v>0.6765734265734266</x:v>
      </x:c>
      <x:c r="J139" s="3" t="n">
        <x:v>0.6765734265734266</x:v>
      </x:c>
      <x:c r="K139" s="3" t="n">
        <x:v>0.6765734265734266</x:v>
      </x:c>
      <x:c r="L139" s="3" t="n">
        <x:v>0.6765734265734266</x:v>
      </x:c>
      <x:c r="M139" s="3" t="n">
        <x:v>0.6765734265734266</x:v>
      </x:c>
      <x:c r="N139" s="3" t="n">
        <x:v>0.6765734265734266</x:v>
      </x:c>
      <x:c r="O139" s="3" t="n">
        <x:v>0.6765734265734266</x:v>
      </x:c>
      <x:c r="P139" s="3" t="n">
        <x:v>0.6765734265734266</x:v>
      </x:c>
      <x:c r="Q139" s="3" t="n">
        <x:v>0.6765734265734266</x:v>
      </x:c>
      <x:c r="R139" s="3" t="n">
        <x:v>0.6765734265734266</x:v>
      </x:c>
      <x:c r="S139" s="3" t="n">
        <x:v>0.6765734265734266</x:v>
      </x:c>
    </x:row>
    <x:row r="140">
      <x:c r="B140" s="9" t="str">
        <x:v>margin rate pass through</x:v>
      </x:c>
      <x:c r="C140" s="9" t="str">
        <x:v>ACTIVE</x:v>
      </x:c>
      <x:c r="D140" s="9" t="str">
        <x:v>fraction</x:v>
      </x:c>
      <x:c r="E140" s="9" t="str">
        <x:v>2025Q2/2026Q2 matched balance/yield disclosures; cash-sweep definition break</x:v>
      </x:c>
      <x:c r="F140" s="9"/>
      <x:c r="G140" s="9"/>
      <x:c r="H140" s="9" t="n">
        <x:f>CHOOSE($D$4,H141,H142,H143)</x:f>
        <x:v>0.85</x:v>
      </x:c>
      <x:c r="I140" s="9" t="n">
        <x:f>CHOOSE($D$4,I141,I142,I143)</x:f>
        <x:v>0.85</x:v>
      </x:c>
      <x:c r="J140" s="9" t="n">
        <x:f>CHOOSE($D$4,J141,J142,J143)</x:f>
        <x:v>0.85</x:v>
      </x:c>
      <x:c r="K140" s="9" t="n">
        <x:f>CHOOSE($D$4,K141,K142,K143)</x:f>
        <x:v>0.85</x:v>
      </x:c>
      <x:c r="L140" s="9" t="n">
        <x:f>CHOOSE($D$4,L141,L142,L143)</x:f>
        <x:v>0.85</x:v>
      </x:c>
      <x:c r="M140" s="9" t="n">
        <x:f>CHOOSE($D$4,M141,M142,M143)</x:f>
        <x:v>0.85</x:v>
      </x:c>
      <x:c r="N140" s="9" t="n">
        <x:f>CHOOSE($D$4,N141,N142,N143)</x:f>
        <x:v>0.85</x:v>
      </x:c>
      <x:c r="O140" s="9" t="n">
        <x:f>CHOOSE($D$4,O141,O142,O143)</x:f>
        <x:v>0.85</x:v>
      </x:c>
      <x:c r="P140" s="9" t="n">
        <x:f>CHOOSE($D$4,P141,P142,P143)</x:f>
        <x:v>0.85</x:v>
      </x:c>
      <x:c r="Q140" s="9" t="n">
        <x:f>CHOOSE($D$4,Q141,Q142,Q143)</x:f>
        <x:v>0.85</x:v>
      </x:c>
      <x:c r="R140" s="9" t="n">
        <x:f>CHOOSE($D$4,R141,R142,R143)</x:f>
        <x:v>0.85</x:v>
      </x:c>
      <x:c r="S140" s="9" t="n">
        <x:f>CHOOSE($D$4,S141,S142,S143)</x:f>
        <x:v>0.85</x:v>
      </x:c>
    </x:row>
    <x:row r="141">
      <x:c r="B141" s="3"/>
      <x:c r="C141" s="3" t="str">
        <x:v>Base</x:v>
      </x:c>
      <x:c r="D141" s="3"/>
      <x:c r="E141" s="3"/>
      <x:c r="F141" s="3"/>
      <x:c r="G141" s="3"/>
      <x:c r="H141" s="3" t="n">
        <x:v>0.85</x:v>
      </x:c>
      <x:c r="I141" s="3" t="n">
        <x:v>0.85</x:v>
      </x:c>
      <x:c r="J141" s="3" t="n">
        <x:v>0.85</x:v>
      </x:c>
      <x:c r="K141" s="3" t="n">
        <x:v>0.85</x:v>
      </x:c>
      <x:c r="L141" s="3" t="n">
        <x:v>0.85</x:v>
      </x:c>
      <x:c r="M141" s="3" t="n">
        <x:v>0.85</x:v>
      </x:c>
      <x:c r="N141" s="3" t="n">
        <x:v>0.85</x:v>
      </x:c>
      <x:c r="O141" s="3" t="n">
        <x:v>0.85</x:v>
      </x:c>
      <x:c r="P141" s="3" t="n">
        <x:v>0.85</x:v>
      </x:c>
      <x:c r="Q141" s="3" t="n">
        <x:v>0.85</x:v>
      </x:c>
      <x:c r="R141" s="3" t="n">
        <x:v>0.85</x:v>
      </x:c>
      <x:c r="S141" s="3" t="n">
        <x:v>0.85</x:v>
      </x:c>
    </x:row>
    <x:row r="142">
      <x:c r="B142" s="3"/>
      <x:c r="C142" s="3" t="str">
        <x:v>Upside</x:v>
      </x:c>
      <x:c r="D142" s="3"/>
      <x:c r="E142" s="3"/>
      <x:c r="F142" s="3"/>
      <x:c r="G142" s="3"/>
      <x:c r="H142" s="3" t="n">
        <x:v>0.85</x:v>
      </x:c>
      <x:c r="I142" s="3" t="n">
        <x:v>0.85</x:v>
      </x:c>
      <x:c r="J142" s="3" t="n">
        <x:v>0.85</x:v>
      </x:c>
      <x:c r="K142" s="3" t="n">
        <x:v>0.85</x:v>
      </x:c>
      <x:c r="L142" s="3" t="n">
        <x:v>0.85</x:v>
      </x:c>
      <x:c r="M142" s="3" t="n">
        <x:v>0.85</x:v>
      </x:c>
      <x:c r="N142" s="3" t="n">
        <x:v>0.85</x:v>
      </x:c>
      <x:c r="O142" s="3" t="n">
        <x:v>0.85</x:v>
      </x:c>
      <x:c r="P142" s="3" t="n">
        <x:v>0.85</x:v>
      </x:c>
      <x:c r="Q142" s="3" t="n">
        <x:v>0.85</x:v>
      </x:c>
      <x:c r="R142" s="3" t="n">
        <x:v>0.85</x:v>
      </x:c>
      <x:c r="S142" s="3" t="n">
        <x:v>0.85</x:v>
      </x:c>
    </x:row>
    <x:row r="143">
      <x:c r="B143" s="3"/>
      <x:c r="C143" s="3" t="str">
        <x:v>Downside</x:v>
      </x:c>
      <x:c r="D143" s="3"/>
      <x:c r="E143" s="3"/>
      <x:c r="F143" s="3"/>
      <x:c r="G143" s="3"/>
      <x:c r="H143" s="3" t="n">
        <x:v>0.85</x:v>
      </x:c>
      <x:c r="I143" s="3" t="n">
        <x:v>0.85</x:v>
      </x:c>
      <x:c r="J143" s="3" t="n">
        <x:v>0.85</x:v>
      </x:c>
      <x:c r="K143" s="3" t="n">
        <x:v>0.85</x:v>
      </x:c>
      <x:c r="L143" s="3" t="n">
        <x:v>0.85</x:v>
      </x:c>
      <x:c r="M143" s="3" t="n">
        <x:v>0.85</x:v>
      </x:c>
      <x:c r="N143" s="3" t="n">
        <x:v>0.85</x:v>
      </x:c>
      <x:c r="O143" s="3" t="n">
        <x:v>0.85</x:v>
      </x:c>
      <x:c r="P143" s="3" t="n">
        <x:v>0.85</x:v>
      </x:c>
      <x:c r="Q143" s="3" t="n">
        <x:v>0.85</x:v>
      </x:c>
      <x:c r="R143" s="3" t="n">
        <x:v>0.85</x:v>
      </x:c>
      <x:c r="S143" s="3" t="n">
        <x:v>0.85</x:v>
      </x:c>
    </x:row>
    <x:row r="144">
      <x:c r="B144" s="9" t="str">
        <x:v>margin realized yield pct</x:v>
      </x:c>
      <x:c r="C144" s="9" t="str">
        <x:v>ACTIVE</x:v>
      </x:c>
      <x:c r="D144" s="9" t="str">
        <x:v>percent</x:v>
      </x:c>
      <x:c r="E144" s="9" t="str">
        <x:v>2026Q2 annualized realized margin yield 4.523%</x:v>
      </x:c>
      <x:c r="F144" s="9"/>
      <x:c r="G144" s="9"/>
      <x:c r="H144" s="9" t="n">
        <x:f>CHOOSE($D$4,H145,H146,H147)</x:f>
        <x:v>4.730154541816322</x:v>
      </x:c>
      <x:c r="I144" s="9" t="n">
        <x:f>CHOOSE($D$4,I145,I146,I147)</x:f>
        <x:v>4.9214045418163215</x:v>
      </x:c>
      <x:c r="J144" s="9" t="n">
        <x:f>CHOOSE($D$4,J145,J146,J147)</x:f>
        <x:v>4.878904541816322</x:v>
      </x:c>
      <x:c r="K144" s="9" t="n">
        <x:f>CHOOSE($D$4,K145,K146,K147)</x:f>
        <x:v>4.8364045418163215</x:v>
      </x:c>
      <x:c r="L144" s="9" t="n">
        <x:f>CHOOSE($D$4,L145,L146,L147)</x:f>
        <x:v>4.793904541816322</x:v>
      </x:c>
      <x:c r="M144" s="9" t="n">
        <x:f>CHOOSE($D$4,M145,M146,M147)</x:f>
        <x:v>4.7514045418163215</x:v>
      </x:c>
      <x:c r="N144" s="9" t="n">
        <x:f>CHOOSE($D$4,N145,N146,N147)</x:f>
        <x:v>4.687654541816322</x:v>
      </x:c>
      <x:c r="O144" s="9" t="n">
        <x:f>CHOOSE($D$4,O145,O146,O147)</x:f>
        <x:v>4.623904541816322</x:v>
      </x:c>
      <x:c r="P144" s="9" t="n">
        <x:f>CHOOSE($D$4,P145,P146,P147)</x:f>
        <x:v>4.560154541816321</x:v>
      </x:c>
      <x:c r="Q144" s="9" t="n">
        <x:f>CHOOSE($D$4,Q145,Q146,Q147)</x:f>
        <x:v>4.496404541816322</x:v>
      </x:c>
      <x:c r="R144" s="9" t="n">
        <x:f>CHOOSE($D$4,R145,R146,R147)</x:f>
        <x:v>4.411404541816322</x:v>
      </x:c>
      <x:c r="S144" s="9" t="n">
        <x:f>CHOOSE($D$4,S145,S146,S147)</x:f>
        <x:v>4.326404541816323</x:v>
      </x:c>
    </x:row>
    <x:row r="145">
      <x:c r="B145" s="3"/>
      <x:c r="C145" s="3" t="str">
        <x:v>Base</x:v>
      </x:c>
      <x:c r="D145" s="3"/>
      <x:c r="E145" s="3"/>
      <x:c r="F145" s="3"/>
      <x:c r="G145" s="3"/>
      <x:c r="H145" s="3" t="n">
        <x:v>4.730154541816322</x:v>
      </x:c>
      <x:c r="I145" s="3" t="n">
        <x:v>4.9214045418163215</x:v>
      </x:c>
      <x:c r="J145" s="3" t="n">
        <x:v>4.878904541816322</x:v>
      </x:c>
      <x:c r="K145" s="3" t="n">
        <x:v>4.8364045418163215</x:v>
      </x:c>
      <x:c r="L145" s="3" t="n">
        <x:v>4.793904541816322</x:v>
      </x:c>
      <x:c r="M145" s="3" t="n">
        <x:v>4.7514045418163215</x:v>
      </x:c>
      <x:c r="N145" s="3" t="n">
        <x:v>4.687654541816322</x:v>
      </x:c>
      <x:c r="O145" s="3" t="n">
        <x:v>4.623904541816322</x:v>
      </x:c>
      <x:c r="P145" s="3" t="n">
        <x:v>4.560154541816321</x:v>
      </x:c>
      <x:c r="Q145" s="3" t="n">
        <x:v>4.496404541816322</x:v>
      </x:c>
      <x:c r="R145" s="3" t="n">
        <x:v>4.411404541816322</x:v>
      </x:c>
      <x:c r="S145" s="3" t="n">
        <x:v>4.326404541816323</x:v>
      </x:c>
    </x:row>
    <x:row r="146">
      <x:c r="B146" s="3"/>
      <x:c r="C146" s="3" t="str">
        <x:v>Upside</x:v>
      </x:c>
      <x:c r="D146" s="3"/>
      <x:c r="E146" s="3"/>
      <x:c r="F146" s="3"/>
      <x:c r="G146" s="3"/>
      <x:c r="H146" s="3" t="n">
        <x:v>4.730154541816322</x:v>
      </x:c>
      <x:c r="I146" s="3" t="n">
        <x:v>4.9214045418163215</x:v>
      </x:c>
      <x:c r="J146" s="3" t="n">
        <x:v>4.878904541816322</x:v>
      </x:c>
      <x:c r="K146" s="3" t="n">
        <x:v>4.8364045418163215</x:v>
      </x:c>
      <x:c r="L146" s="3" t="n">
        <x:v>4.793904541816322</x:v>
      </x:c>
      <x:c r="M146" s="3" t="n">
        <x:v>4.7514045418163215</x:v>
      </x:c>
      <x:c r="N146" s="3" t="n">
        <x:v>4.687654541816322</x:v>
      </x:c>
      <x:c r="O146" s="3" t="n">
        <x:v>4.623904541816322</x:v>
      </x:c>
      <x:c r="P146" s="3" t="n">
        <x:v>4.560154541816321</x:v>
      </x:c>
      <x:c r="Q146" s="3" t="n">
        <x:v>4.496404541816322</x:v>
      </x:c>
      <x:c r="R146" s="3" t="n">
        <x:v>4.411404541816322</x:v>
      </x:c>
      <x:c r="S146" s="3" t="n">
        <x:v>4.326404541816323</x:v>
      </x:c>
    </x:row>
    <x:row r="147">
      <x:c r="B147" s="3"/>
      <x:c r="C147" s="3" t="str">
        <x:v>Downside</x:v>
      </x:c>
      <x:c r="D147" s="3"/>
      <x:c r="E147" s="3"/>
      <x:c r="F147" s="3"/>
      <x:c r="G147" s="3"/>
      <x:c r="H147" s="3" t="n">
        <x:v>4.517654541816322</x:v>
      </x:c>
      <x:c r="I147" s="3" t="n">
        <x:v>4.496404541816322</x:v>
      </x:c>
      <x:c r="J147" s="3" t="n">
        <x:v>4.241404541816322</x:v>
      </x:c>
      <x:c r="K147" s="3" t="n">
        <x:v>3.986404541816322</x:v>
      </x:c>
      <x:c r="L147" s="3" t="n">
        <x:v>3.9439045418163214</x:v>
      </x:c>
      <x:c r="M147" s="3" t="n">
        <x:v>3.901404541816322</x:v>
      </x:c>
      <x:c r="N147" s="3" t="n">
        <x:v>3.837654541816322</x:v>
      </x:c>
      <x:c r="O147" s="3" t="n">
        <x:v>3.773904541816322</x:v>
      </x:c>
      <x:c r="P147" s="3" t="n">
        <x:v>3.7101545418163218</x:v>
      </x:c>
      <x:c r="Q147" s="3" t="n">
        <x:v>3.646404541816322</x:v>
      </x:c>
      <x:c r="R147" s="3" t="n">
        <x:v>3.561404541816322</x:v>
      </x:c>
      <x:c r="S147" s="3" t="n">
        <x:v>3.476404541816322</x:v>
      </x:c>
    </x:row>
    <x:row r="148">
      <x:c r="B148" s="9" t="str">
        <x:v>marketing additions variable share</x:v>
      </x:c>
      <x:c r="C148" s="9" t="str">
        <x:v>ACTIVE</x:v>
      </x:c>
      <x:c r="D148" s="9" t="str">
        <x:v>fraction</x:v>
      </x:c>
      <x:c r="E148" s="9" t="str">
        <x:v>2024–2025 marketing expense grew 47%; customer acquisition mix undisclosed</x:v>
      </x:c>
      <x:c r="F148" s="9"/>
      <x:c r="G148" s="9"/>
      <x:c r="H148" s="9" t="n">
        <x:f>CHOOSE($D$4,H149,H150,H151)</x:f>
        <x:v>0.2</x:v>
      </x:c>
      <x:c r="I148" s="9" t="n">
        <x:f>CHOOSE($D$4,I149,I150,I151)</x:f>
        <x:v>0.2</x:v>
      </x:c>
      <x:c r="J148" s="9" t="n">
        <x:f>CHOOSE($D$4,J149,J150,J151)</x:f>
        <x:v>0.2</x:v>
      </x:c>
      <x:c r="K148" s="9" t="n">
        <x:f>CHOOSE($D$4,K149,K150,K151)</x:f>
        <x:v>0.2</x:v>
      </x:c>
      <x:c r="L148" s="9" t="n">
        <x:f>CHOOSE($D$4,L149,L150,L151)</x:f>
        <x:v>0.2</x:v>
      </x:c>
      <x:c r="M148" s="9" t="n">
        <x:f>CHOOSE($D$4,M149,M150,M151)</x:f>
        <x:v>0.2</x:v>
      </x:c>
      <x:c r="N148" s="9" t="n">
        <x:f>CHOOSE($D$4,N149,N150,N151)</x:f>
        <x:v>0.2</x:v>
      </x:c>
      <x:c r="O148" s="9" t="n">
        <x:f>CHOOSE($D$4,O149,O150,O151)</x:f>
        <x:v>0.2</x:v>
      </x:c>
      <x:c r="P148" s="9" t="n">
        <x:f>CHOOSE($D$4,P149,P150,P151)</x:f>
        <x:v>0.2</x:v>
      </x:c>
      <x:c r="Q148" s="9" t="n">
        <x:f>CHOOSE($D$4,Q149,Q150,Q151)</x:f>
        <x:v>0.2</x:v>
      </x:c>
      <x:c r="R148" s="9" t="n">
        <x:f>CHOOSE($D$4,R149,R150,R151)</x:f>
        <x:v>0.2</x:v>
      </x:c>
      <x:c r="S148" s="9" t="n">
        <x:f>CHOOSE($D$4,S149,S150,S151)</x:f>
        <x:v>0.2</x:v>
      </x:c>
    </x:row>
    <x:row r="149">
      <x:c r="B149" s="3"/>
      <x:c r="C149" s="3" t="str">
        <x:v>Base</x:v>
      </x:c>
      <x:c r="D149" s="3"/>
      <x:c r="E149" s="3"/>
      <x:c r="F149" s="3"/>
      <x:c r="G149" s="3"/>
      <x:c r="H149" s="3" t="n">
        <x:v>0.2</x:v>
      </x:c>
      <x:c r="I149" s="3" t="n">
        <x:v>0.2</x:v>
      </x:c>
      <x:c r="J149" s="3" t="n">
        <x:v>0.2</x:v>
      </x:c>
      <x:c r="K149" s="3" t="n">
        <x:v>0.2</x:v>
      </x:c>
      <x:c r="L149" s="3" t="n">
        <x:v>0.2</x:v>
      </x:c>
      <x:c r="M149" s="3" t="n">
        <x:v>0.2</x:v>
      </x:c>
      <x:c r="N149" s="3" t="n">
        <x:v>0.2</x:v>
      </x:c>
      <x:c r="O149" s="3" t="n">
        <x:v>0.2</x:v>
      </x:c>
      <x:c r="P149" s="3" t="n">
        <x:v>0.2</x:v>
      </x:c>
      <x:c r="Q149" s="3" t="n">
        <x:v>0.2</x:v>
      </x:c>
      <x:c r="R149" s="3" t="n">
        <x:v>0.2</x:v>
      </x:c>
      <x:c r="S149" s="3" t="n">
        <x:v>0.2</x:v>
      </x:c>
    </x:row>
    <x:row r="150">
      <x:c r="B150" s="3"/>
      <x:c r="C150" s="3" t="str">
        <x:v>Upside</x:v>
      </x:c>
      <x:c r="D150" s="3"/>
      <x:c r="E150" s="3"/>
      <x:c r="F150" s="3"/>
      <x:c r="G150" s="3"/>
      <x:c r="H150" s="3" t="n">
        <x:v>0.2</x:v>
      </x:c>
      <x:c r="I150" s="3" t="n">
        <x:v>0.2</x:v>
      </x:c>
      <x:c r="J150" s="3" t="n">
        <x:v>0.2</x:v>
      </x:c>
      <x:c r="K150" s="3" t="n">
        <x:v>0.2</x:v>
      </x:c>
      <x:c r="L150" s="3" t="n">
        <x:v>0.2</x:v>
      </x:c>
      <x:c r="M150" s="3" t="n">
        <x:v>0.2</x:v>
      </x:c>
      <x:c r="N150" s="3" t="n">
        <x:v>0.2</x:v>
      </x:c>
      <x:c r="O150" s="3" t="n">
        <x:v>0.2</x:v>
      </x:c>
      <x:c r="P150" s="3" t="n">
        <x:v>0.2</x:v>
      </x:c>
      <x:c r="Q150" s="3" t="n">
        <x:v>0.2</x:v>
      </x:c>
      <x:c r="R150" s="3" t="n">
        <x:v>0.2</x:v>
      </x:c>
      <x:c r="S150" s="3" t="n">
        <x:v>0.2</x:v>
      </x:c>
    </x:row>
    <x:row r="151">
      <x:c r="B151" s="3"/>
      <x:c r="C151" s="3" t="str">
        <x:v>Downside</x:v>
      </x:c>
      <x:c r="D151" s="3"/>
      <x:c r="E151" s="3"/>
      <x:c r="F151" s="3"/>
      <x:c r="G151" s="3"/>
      <x:c r="H151" s="3" t="n">
        <x:v>0.2</x:v>
      </x:c>
      <x:c r="I151" s="3" t="n">
        <x:v>0.2</x:v>
      </x:c>
      <x:c r="J151" s="3" t="n">
        <x:v>0.2</x:v>
      </x:c>
      <x:c r="K151" s="3" t="n">
        <x:v>0.2</x:v>
      </x:c>
      <x:c r="L151" s="3" t="n">
        <x:v>0.2</x:v>
      </x:c>
      <x:c r="M151" s="3" t="n">
        <x:v>0.2</x:v>
      </x:c>
      <x:c r="N151" s="3" t="n">
        <x:v>0.2</x:v>
      </x:c>
      <x:c r="O151" s="3" t="n">
        <x:v>0.2</x:v>
      </x:c>
      <x:c r="P151" s="3" t="n">
        <x:v>0.2</x:v>
      </x:c>
      <x:c r="Q151" s="3" t="n">
        <x:v>0.2</x:v>
      </x:c>
      <x:c r="R151" s="3" t="n">
        <x:v>0.2</x:v>
      </x:c>
      <x:c r="S151" s="3" t="n">
        <x:v>0.2</x:v>
      </x:c>
    </x:row>
    <x:row r="152">
      <x:c r="B152" s="9" t="str">
        <x:v>marketing base m</x:v>
      </x:c>
      <x:c r="C152" s="9" t="str">
        <x:v>ACTIVE</x:v>
      </x:c>
      <x:c r="D152" s="9" t="str">
        <x:v>USD millions</x:v>
      </x:c>
      <x:c r="E152" s="9" t="str">
        <x:v>Q2 $104m; +$25m H2 growth investment allowance</x:v>
      </x:c>
      <x:c r="F152" s="9"/>
      <x:c r="G152" s="9"/>
      <x:c r="H152" s="9" t="n">
        <x:f>CHOOSE($D$4,H153,H154,H155)</x:f>
        <x:v>129</x:v>
      </x:c>
      <x:c r="I152" s="9" t="n">
        <x:f>CHOOSE($D$4,I153,I154,I155)</x:f>
        <x:v>129</x:v>
      </x:c>
      <x:c r="J152" s="9" t="n">
        <x:f>CHOOSE($D$4,J153,J154,J155)</x:f>
        <x:v>129</x:v>
      </x:c>
      <x:c r="K152" s="9" t="n">
        <x:f>CHOOSE($D$4,K153,K154,K155)</x:f>
        <x:v>129</x:v>
      </x:c>
      <x:c r="L152" s="9" t="n">
        <x:f>CHOOSE($D$4,L153,L154,L155)</x:f>
        <x:v>129</x:v>
      </x:c>
      <x:c r="M152" s="9" t="n">
        <x:f>CHOOSE($D$4,M153,M154,M155)</x:f>
        <x:v>129</x:v>
      </x:c>
      <x:c r="N152" s="9" t="n">
        <x:f>CHOOSE($D$4,N153,N154,N155)</x:f>
        <x:v>129</x:v>
      </x:c>
      <x:c r="O152" s="9" t="n">
        <x:f>CHOOSE($D$4,O153,O154,O155)</x:f>
        <x:v>129</x:v>
      </x:c>
      <x:c r="P152" s="9" t="n">
        <x:f>CHOOSE($D$4,P153,P154,P155)</x:f>
        <x:v>129</x:v>
      </x:c>
      <x:c r="Q152" s="9" t="n">
        <x:f>CHOOSE($D$4,Q153,Q154,Q155)</x:f>
        <x:v>129</x:v>
      </x:c>
      <x:c r="R152" s="9" t="n">
        <x:f>CHOOSE($D$4,R153,R154,R155)</x:f>
        <x:v>129</x:v>
      </x:c>
      <x:c r="S152" s="9" t="n">
        <x:f>CHOOSE($D$4,S153,S154,S155)</x:f>
        <x:v>129</x:v>
      </x:c>
    </x:row>
    <x:row r="153">
      <x:c r="B153" s="3"/>
      <x:c r="C153" s="3" t="str">
        <x:v>Base</x:v>
      </x:c>
      <x:c r="D153" s="3"/>
      <x:c r="E153" s="3"/>
      <x:c r="F153" s="3"/>
      <x:c r="G153" s="3"/>
      <x:c r="H153" s="3" t="n">
        <x:v>129</x:v>
      </x:c>
      <x:c r="I153" s="3" t="n">
        <x:v>129</x:v>
      </x:c>
      <x:c r="J153" s="3" t="n">
        <x:v>129</x:v>
      </x:c>
      <x:c r="K153" s="3" t="n">
        <x:v>129</x:v>
      </x:c>
      <x:c r="L153" s="3" t="n">
        <x:v>129</x:v>
      </x:c>
      <x:c r="M153" s="3" t="n">
        <x:v>129</x:v>
      </x:c>
      <x:c r="N153" s="3" t="n">
        <x:v>129</x:v>
      </x:c>
      <x:c r="O153" s="3" t="n">
        <x:v>129</x:v>
      </x:c>
      <x:c r="P153" s="3" t="n">
        <x:v>129</x:v>
      </x:c>
      <x:c r="Q153" s="3" t="n">
        <x:v>129</x:v>
      </x:c>
      <x:c r="R153" s="3" t="n">
        <x:v>129</x:v>
      </x:c>
      <x:c r="S153" s="3" t="n">
        <x:v>129</x:v>
      </x:c>
    </x:row>
    <x:row r="154">
      <x:c r="B154" s="3"/>
      <x:c r="C154" s="3" t="str">
        <x:v>Upside</x:v>
      </x:c>
      <x:c r="D154" s="3"/>
      <x:c r="E154" s="3"/>
      <x:c r="F154" s="3"/>
      <x:c r="G154" s="3"/>
      <x:c r="H154" s="3" t="n">
        <x:v>129</x:v>
      </x:c>
      <x:c r="I154" s="3" t="n">
        <x:v>129</x:v>
      </x:c>
      <x:c r="J154" s="3" t="n">
        <x:v>129</x:v>
      </x:c>
      <x:c r="K154" s="3" t="n">
        <x:v>129</x:v>
      </x:c>
      <x:c r="L154" s="3" t="n">
        <x:v>129</x:v>
      </x:c>
      <x:c r="M154" s="3" t="n">
        <x:v>129</x:v>
      </x:c>
      <x:c r="N154" s="3" t="n">
        <x:v>129</x:v>
      </x:c>
      <x:c r="O154" s="3" t="n">
        <x:v>129</x:v>
      </x:c>
      <x:c r="P154" s="3" t="n">
        <x:v>129</x:v>
      </x:c>
      <x:c r="Q154" s="3" t="n">
        <x:v>129</x:v>
      </x:c>
      <x:c r="R154" s="3" t="n">
        <x:v>129</x:v>
      </x:c>
      <x:c r="S154" s="3" t="n">
        <x:v>129</x:v>
      </x:c>
    </x:row>
    <x:row r="155">
      <x:c r="B155" s="3"/>
      <x:c r="C155" s="3" t="str">
        <x:v>Downside</x:v>
      </x:c>
      <x:c r="D155" s="3"/>
      <x:c r="E155" s="3"/>
      <x:c r="F155" s="3"/>
      <x:c r="G155" s="3"/>
      <x:c r="H155" s="3" t="n">
        <x:v>129</x:v>
      </x:c>
      <x:c r="I155" s="3" t="n">
        <x:v>129</x:v>
      </x:c>
      <x:c r="J155" s="3" t="n">
        <x:v>129</x:v>
      </x:c>
      <x:c r="K155" s="3" t="n">
        <x:v>129</x:v>
      </x:c>
      <x:c r="L155" s="3" t="n">
        <x:v>129</x:v>
      </x:c>
      <x:c r="M155" s="3" t="n">
        <x:v>129</x:v>
      </x:c>
      <x:c r="N155" s="3" t="n">
        <x:v>129</x:v>
      </x:c>
      <x:c r="O155" s="3" t="n">
        <x:v>129</x:v>
      </x:c>
      <x:c r="P155" s="3" t="n">
        <x:v>129</x:v>
      </x:c>
      <x:c r="Q155" s="3" t="n">
        <x:v>129</x:v>
      </x:c>
      <x:c r="R155" s="3" t="n">
        <x:v>129</x:v>
      </x:c>
      <x:c r="S155" s="3" t="n">
        <x:v>129</x:v>
      </x:c>
    </x:row>
    <x:row r="156">
      <x:c r="B156" s="9" t="str">
        <x:v>marketing reference additions m</x:v>
      </x:c>
      <x:c r="C156" s="9" t="str">
        <x:v>ACTIVE</x:v>
      </x:c>
      <x:c r="D156" s="9" t="str">
        <x:v>millions</x:v>
      </x:c>
      <x:c r="E156" s="9" t="str">
        <x:v>2025Q3–2026Q1 comparable net-addition median</x:v>
      </x:c>
      <x:c r="F156" s="9"/>
      <x:c r="G156" s="9"/>
      <x:c r="H156" s="9" t="n">
        <x:f>CHOOSE($D$4,H157,H158,H159)</x:f>
        <x:v>0.3</x:v>
      </x:c>
      <x:c r="I156" s="9" t="n">
        <x:f>CHOOSE($D$4,I157,I158,I159)</x:f>
        <x:v>0.3</x:v>
      </x:c>
      <x:c r="J156" s="9" t="n">
        <x:f>CHOOSE($D$4,J157,J158,J159)</x:f>
        <x:v>0.3</x:v>
      </x:c>
      <x:c r="K156" s="9" t="n">
        <x:f>CHOOSE($D$4,K157,K158,K159)</x:f>
        <x:v>0.3</x:v>
      </x:c>
      <x:c r="L156" s="9" t="n">
        <x:f>CHOOSE($D$4,L157,L158,L159)</x:f>
        <x:v>0.3</x:v>
      </x:c>
      <x:c r="M156" s="9" t="n">
        <x:f>CHOOSE($D$4,M157,M158,M159)</x:f>
        <x:v>0.3</x:v>
      </x:c>
      <x:c r="N156" s="9" t="n">
        <x:f>CHOOSE($D$4,N157,N158,N159)</x:f>
        <x:v>0.3</x:v>
      </x:c>
      <x:c r="O156" s="9" t="n">
        <x:f>CHOOSE($D$4,O157,O158,O159)</x:f>
        <x:v>0.3</x:v>
      </x:c>
      <x:c r="P156" s="9" t="n">
        <x:f>CHOOSE($D$4,P157,P158,P159)</x:f>
        <x:v>0.3</x:v>
      </x:c>
      <x:c r="Q156" s="9" t="n">
        <x:f>CHOOSE($D$4,Q157,Q158,Q159)</x:f>
        <x:v>0.3</x:v>
      </x:c>
      <x:c r="R156" s="9" t="n">
        <x:f>CHOOSE($D$4,R157,R158,R159)</x:f>
        <x:v>0.3</x:v>
      </x:c>
      <x:c r="S156" s="9" t="n">
        <x:f>CHOOSE($D$4,S157,S158,S159)</x:f>
        <x:v>0.3</x:v>
      </x:c>
    </x:row>
    <x:row r="157">
      <x:c r="B157" s="3"/>
      <x:c r="C157" s="3" t="str">
        <x:v>Base</x:v>
      </x:c>
      <x:c r="D157" s="3"/>
      <x:c r="E157" s="3"/>
      <x:c r="F157" s="3"/>
      <x:c r="G157" s="3"/>
      <x:c r="H157" s="3" t="n">
        <x:v>0.3</x:v>
      </x:c>
      <x:c r="I157" s="3" t="n">
        <x:v>0.3</x:v>
      </x:c>
      <x:c r="J157" s="3" t="n">
        <x:v>0.3</x:v>
      </x:c>
      <x:c r="K157" s="3" t="n">
        <x:v>0.3</x:v>
      </x:c>
      <x:c r="L157" s="3" t="n">
        <x:v>0.3</x:v>
      </x:c>
      <x:c r="M157" s="3" t="n">
        <x:v>0.3</x:v>
      </x:c>
      <x:c r="N157" s="3" t="n">
        <x:v>0.3</x:v>
      </x:c>
      <x:c r="O157" s="3" t="n">
        <x:v>0.3</x:v>
      </x:c>
      <x:c r="P157" s="3" t="n">
        <x:v>0.3</x:v>
      </x:c>
      <x:c r="Q157" s="3" t="n">
        <x:v>0.3</x:v>
      </x:c>
      <x:c r="R157" s="3" t="n">
        <x:v>0.3</x:v>
      </x:c>
      <x:c r="S157" s="3" t="n">
        <x:v>0.3</x:v>
      </x:c>
    </x:row>
    <x:row r="158">
      <x:c r="B158" s="3"/>
      <x:c r="C158" s="3" t="str">
        <x:v>Upside</x:v>
      </x:c>
      <x:c r="D158" s="3"/>
      <x:c r="E158" s="3"/>
      <x:c r="F158" s="3"/>
      <x:c r="G158" s="3"/>
      <x:c r="H158" s="3" t="n">
        <x:v>0.3</x:v>
      </x:c>
      <x:c r="I158" s="3" t="n">
        <x:v>0.3</x:v>
      </x:c>
      <x:c r="J158" s="3" t="n">
        <x:v>0.3</x:v>
      </x:c>
      <x:c r="K158" s="3" t="n">
        <x:v>0.3</x:v>
      </x:c>
      <x:c r="L158" s="3" t="n">
        <x:v>0.3</x:v>
      </x:c>
      <x:c r="M158" s="3" t="n">
        <x:v>0.3</x:v>
      </x:c>
      <x:c r="N158" s="3" t="n">
        <x:v>0.3</x:v>
      </x:c>
      <x:c r="O158" s="3" t="n">
        <x:v>0.3</x:v>
      </x:c>
      <x:c r="P158" s="3" t="n">
        <x:v>0.3</x:v>
      </x:c>
      <x:c r="Q158" s="3" t="n">
        <x:v>0.3</x:v>
      </x:c>
      <x:c r="R158" s="3" t="n">
        <x:v>0.3</x:v>
      </x:c>
      <x:c r="S158" s="3" t="n">
        <x:v>0.3</x:v>
      </x:c>
    </x:row>
    <x:row r="159">
      <x:c r="B159" s="3"/>
      <x:c r="C159" s="3" t="str">
        <x:v>Downside</x:v>
      </x:c>
      <x:c r="D159" s="3"/>
      <x:c r="E159" s="3"/>
      <x:c r="F159" s="3"/>
      <x:c r="G159" s="3"/>
      <x:c r="H159" s="3" t="n">
        <x:v>0.3</x:v>
      </x:c>
      <x:c r="I159" s="3" t="n">
        <x:v>0.3</x:v>
      </x:c>
      <x:c r="J159" s="3" t="n">
        <x:v>0.3</x:v>
      </x:c>
      <x:c r="K159" s="3" t="n">
        <x:v>0.3</x:v>
      </x:c>
      <x:c r="L159" s="3" t="n">
        <x:v>0.3</x:v>
      </x:c>
      <x:c r="M159" s="3" t="n">
        <x:v>0.3</x:v>
      </x:c>
      <x:c r="N159" s="3" t="n">
        <x:v>0.3</x:v>
      </x:c>
      <x:c r="O159" s="3" t="n">
        <x:v>0.3</x:v>
      </x:c>
      <x:c r="P159" s="3" t="n">
        <x:v>0.3</x:v>
      </x:c>
      <x:c r="Q159" s="3" t="n">
        <x:v>0.3</x:v>
      </x:c>
      <x:c r="R159" s="3" t="n">
        <x:v>0.3</x:v>
      </x:c>
      <x:c r="S159" s="3" t="n">
        <x:v>0.3</x:v>
      </x:c>
    </x:row>
    <x:row r="160">
      <x:c r="B160" s="9" t="str">
        <x:v>net customer additions m</x:v>
      </x:c>
      <x:c r="C160" s="9" t="str">
        <x:v>ACTIVE</x:v>
      </x:c>
      <x:c r="D160" s="9" t="str">
        <x:v>millions</x:v>
      </x:c>
      <x:c r="E160" s="9" t="str">
        <x:v>2026Q2 end 28.4m; August end 28.6m; September modeled</x:v>
      </x:c>
      <x:c r="F160" s="9"/>
      <x:c r="G160" s="9"/>
      <x:c r="H160" s="9" t="n">
        <x:f>CHOOSE($D$4,H161,H162,H163)</x:f>
        <x:v>0.3</x:v>
      </x:c>
      <x:c r="I160" s="9" t="n">
        <x:f>CHOOSE($D$4,I161,I162,I163)</x:f>
        <x:v>0.3</x:v>
      </x:c>
      <x:c r="J160" s="9" t="n">
        <x:f>CHOOSE($D$4,J161,J162,J163)</x:f>
        <x:v>0.3</x:v>
      </x:c>
      <x:c r="K160" s="9" t="n">
        <x:f>CHOOSE($D$4,K161,K162,K163)</x:f>
        <x:v>0.3</x:v>
      </x:c>
      <x:c r="L160" s="9" t="n">
        <x:f>CHOOSE($D$4,L161,L162,L163)</x:f>
        <x:v>0.3</x:v>
      </x:c>
      <x:c r="M160" s="9" t="n">
        <x:f>CHOOSE($D$4,M161,M162,M163)</x:f>
        <x:v>0.3</x:v>
      </x:c>
      <x:c r="N160" s="9" t="n">
        <x:f>CHOOSE($D$4,N161,N162,N163)</x:f>
        <x:v>0.3</x:v>
      </x:c>
      <x:c r="O160" s="9" t="n">
        <x:f>CHOOSE($D$4,O161,O162,O163)</x:f>
        <x:v>0.3</x:v>
      </x:c>
      <x:c r="P160" s="9" t="n">
        <x:f>CHOOSE($D$4,P161,P162,P163)</x:f>
        <x:v>0.3</x:v>
      </x:c>
      <x:c r="Q160" s="9" t="n">
        <x:f>CHOOSE($D$4,Q161,Q162,Q163)</x:f>
        <x:v>0.3</x:v>
      </x:c>
      <x:c r="R160" s="9" t="n">
        <x:f>CHOOSE($D$4,R161,R162,R163)</x:f>
        <x:v>0.3</x:v>
      </x:c>
      <x:c r="S160" s="9" t="n">
        <x:f>CHOOSE($D$4,S161,S162,S163)</x:f>
        <x:v>0.3</x:v>
      </x:c>
    </x:row>
    <x:row r="161">
      <x:c r="B161" s="3"/>
      <x:c r="C161" s="3" t="str">
        <x:v>Base</x:v>
      </x:c>
      <x:c r="D161" s="3"/>
      <x:c r="E161" s="3"/>
      <x:c r="F161" s="3"/>
      <x:c r="G161" s="3"/>
      <x:c r="H161" s="3" t="n">
        <x:v>0.3</x:v>
      </x:c>
      <x:c r="I161" s="3" t="n">
        <x:v>0.3</x:v>
      </x:c>
      <x:c r="J161" s="3" t="n">
        <x:v>0.3</x:v>
      </x:c>
      <x:c r="K161" s="3" t="n">
        <x:v>0.3</x:v>
      </x:c>
      <x:c r="L161" s="3" t="n">
        <x:v>0.3</x:v>
      </x:c>
      <x:c r="M161" s="3" t="n">
        <x:v>0.3</x:v>
      </x:c>
      <x:c r="N161" s="3" t="n">
        <x:v>0.3</x:v>
      </x:c>
      <x:c r="O161" s="3" t="n">
        <x:v>0.3</x:v>
      </x:c>
      <x:c r="P161" s="3" t="n">
        <x:v>0.3</x:v>
      </x:c>
      <x:c r="Q161" s="3" t="n">
        <x:v>0.3</x:v>
      </x:c>
      <x:c r="R161" s="3" t="n">
        <x:v>0.3</x:v>
      </x:c>
      <x:c r="S161" s="3" t="n">
        <x:v>0.3</x:v>
      </x:c>
    </x:row>
    <x:row r="162">
      <x:c r="B162" s="3"/>
      <x:c r="C162" s="3" t="str">
        <x:v>Upside</x:v>
      </x:c>
      <x:c r="D162" s="3"/>
      <x:c r="E162" s="3"/>
      <x:c r="F162" s="3"/>
      <x:c r="G162" s="3"/>
      <x:c r="H162" s="3" t="n">
        <x:v>0.45</x:v>
      </x:c>
      <x:c r="I162" s="3" t="n">
        <x:v>0.45</x:v>
      </x:c>
      <x:c r="J162" s="3" t="n">
        <x:v>0.45</x:v>
      </x:c>
      <x:c r="K162" s="3" t="n">
        <x:v>0.45</x:v>
      </x:c>
      <x:c r="L162" s="3" t="n">
        <x:v>0.45</x:v>
      </x:c>
      <x:c r="M162" s="3" t="n">
        <x:v>0.45</x:v>
      </x:c>
      <x:c r="N162" s="3" t="n">
        <x:v>0.45</x:v>
      </x:c>
      <x:c r="O162" s="3" t="n">
        <x:v>0.45</x:v>
      </x:c>
      <x:c r="P162" s="3" t="n">
        <x:v>0.45</x:v>
      </x:c>
      <x:c r="Q162" s="3" t="n">
        <x:v>0.45</x:v>
      </x:c>
      <x:c r="R162" s="3" t="n">
        <x:v>0.45</x:v>
      </x:c>
      <x:c r="S162" s="3" t="n">
        <x:v>0.45</x:v>
      </x:c>
    </x:row>
    <x:row r="163">
      <x:c r="B163" s="3"/>
      <x:c r="C163" s="3" t="str">
        <x:v>Downside</x:v>
      </x:c>
      <x:c r="D163" s="3"/>
      <x:c r="E163" s="3"/>
      <x:c r="F163" s="3"/>
      <x:c r="G163" s="3"/>
      <x:c r="H163" s="3" t="n">
        <x:v>0.2</x:v>
      </x:c>
      <x:c r="I163" s="3" t="n">
        <x:v>0.15</x:v>
      </x:c>
      <x:c r="J163" s="3" t="n">
        <x:v>0.15</x:v>
      </x:c>
      <x:c r="K163" s="3" t="n">
        <x:v>0.15</x:v>
      </x:c>
      <x:c r="L163" s="3" t="n">
        <x:v>0.15</x:v>
      </x:c>
      <x:c r="M163" s="3" t="n">
        <x:v>0.15</x:v>
      </x:c>
      <x:c r="N163" s="3" t="n">
        <x:v>0.15</x:v>
      </x:c>
      <x:c r="O163" s="3" t="n">
        <x:v>0.15</x:v>
      </x:c>
      <x:c r="P163" s="3" t="n">
        <x:v>0.15</x:v>
      </x:c>
      <x:c r="Q163" s="3" t="n">
        <x:v>0.15</x:v>
      </x:c>
      <x:c r="R163" s="3" t="n">
        <x:v>0.15</x:v>
      </x:c>
      <x:c r="S163" s="3" t="n">
        <x:v>0.15</x:v>
      </x:c>
    </x:row>
    <x:row r="164">
      <x:c r="B164" s="9" t="str">
        <x:v>net deposits b</x:v>
      </x:c>
      <x:c r="C164" s="9" t="str">
        <x:v>ACTIVE</x:v>
      </x:c>
      <x:c r="D164" s="9" t="str">
        <x:v>USD billions</x:v>
      </x:c>
      <x:c r="E164" s="9" t="str">
        <x:v>July $5.6b + August $4.0b + September modeled</x:v>
      </x:c>
      <x:c r="F164" s="9"/>
      <x:c r="G164" s="9"/>
      <x:c r="H164" s="9" t="n">
        <x:f>CHOOSE($D$4,H165,H166,H167)</x:f>
        <x:v>14.399999999999999</x:v>
      </x:c>
      <x:c r="I164" s="9" t="n">
        <x:f>CHOOSE($D$4,I165,I166,I167)</x:f>
        <x:v>17.7</x:v>
      </x:c>
      <x:c r="J164" s="9" t="n">
        <x:f>CHOOSE($D$4,J165,J166,J167)</x:f>
        <x:v>17.7</x:v>
      </x:c>
      <x:c r="K164" s="9" t="n">
        <x:f>CHOOSE($D$4,K165,K166,K167)</x:f>
        <x:v>17.7</x:v>
      </x:c>
      <x:c r="L164" s="9" t="n">
        <x:f>CHOOSE($D$4,L165,L166,L167)</x:f>
        <x:v>17.7</x:v>
      </x:c>
      <x:c r="M164" s="9" t="n">
        <x:f>CHOOSE($D$4,M165,M166,M167)</x:f>
        <x:v>17.7</x:v>
      </x:c>
      <x:c r="N164" s="9" t="n">
        <x:f>CHOOSE($D$4,N165,N166,N167)</x:f>
        <x:v>17.7</x:v>
      </x:c>
      <x:c r="O164" s="9" t="n">
        <x:f>CHOOSE($D$4,O165,O166,O167)</x:f>
        <x:v>17.7</x:v>
      </x:c>
      <x:c r="P164" s="9" t="n">
        <x:f>CHOOSE($D$4,P165,P166,P167)</x:f>
        <x:v>17.7</x:v>
      </x:c>
      <x:c r="Q164" s="9" t="n">
        <x:f>CHOOSE($D$4,Q165,Q166,Q167)</x:f>
        <x:v>17.7</x:v>
      </x:c>
      <x:c r="R164" s="9" t="n">
        <x:f>CHOOSE($D$4,R165,R166,R167)</x:f>
        <x:v>17.7</x:v>
      </x:c>
      <x:c r="S164" s="9" t="n">
        <x:f>CHOOSE($D$4,S165,S166,S167)</x:f>
        <x:v>17.7</x:v>
      </x:c>
    </x:row>
    <x:row r="165">
      <x:c r="B165" s="3"/>
      <x:c r="C165" s="3" t="str">
        <x:v>Base</x:v>
      </x:c>
      <x:c r="D165" s="3"/>
      <x:c r="E165" s="3"/>
      <x:c r="F165" s="3"/>
      <x:c r="G165" s="3"/>
      <x:c r="H165" s="3" t="n">
        <x:v>14.399999999999999</x:v>
      </x:c>
      <x:c r="I165" s="3" t="n">
        <x:v>17.7</x:v>
      </x:c>
      <x:c r="J165" s="3" t="n">
        <x:v>17.7</x:v>
      </x:c>
      <x:c r="K165" s="3" t="n">
        <x:v>17.7</x:v>
      </x:c>
      <x:c r="L165" s="3" t="n">
        <x:v>17.7</x:v>
      </x:c>
      <x:c r="M165" s="3" t="n">
        <x:v>17.7</x:v>
      </x:c>
      <x:c r="N165" s="3" t="n">
        <x:v>17.7</x:v>
      </x:c>
      <x:c r="O165" s="3" t="n">
        <x:v>17.7</x:v>
      </x:c>
      <x:c r="P165" s="3" t="n">
        <x:v>17.7</x:v>
      </x:c>
      <x:c r="Q165" s="3" t="n">
        <x:v>17.7</x:v>
      </x:c>
      <x:c r="R165" s="3" t="n">
        <x:v>17.7</x:v>
      </x:c>
      <x:c r="S165" s="3" t="n">
        <x:v>17.7</x:v>
      </x:c>
    </x:row>
    <x:row r="166">
      <x:c r="B166" s="3"/>
      <x:c r="C166" s="3" t="str">
        <x:v>Upside</x:v>
      </x:c>
      <x:c r="D166" s="3"/>
      <x:c r="E166" s="3"/>
      <x:c r="F166" s="3"/>
      <x:c r="G166" s="3"/>
      <x:c r="H166" s="3" t="n">
        <x:v>15.2</x:v>
      </x:c>
      <x:c r="I166" s="3" t="n">
        <x:v>21.7</x:v>
      </x:c>
      <x:c r="J166" s="3" t="n">
        <x:v>21.7</x:v>
      </x:c>
      <x:c r="K166" s="3" t="n">
        <x:v>21.7</x:v>
      </x:c>
      <x:c r="L166" s="3" t="n">
        <x:v>21.7</x:v>
      </x:c>
      <x:c r="M166" s="3" t="n">
        <x:v>21.7</x:v>
      </x:c>
      <x:c r="N166" s="3" t="n">
        <x:v>21.7</x:v>
      </x:c>
      <x:c r="O166" s="3" t="n">
        <x:v>21.7</x:v>
      </x:c>
      <x:c r="P166" s="3" t="n">
        <x:v>21.7</x:v>
      </x:c>
      <x:c r="Q166" s="3" t="n">
        <x:v>21.7</x:v>
      </x:c>
      <x:c r="R166" s="3" t="n">
        <x:v>21.7</x:v>
      </x:c>
      <x:c r="S166" s="3" t="n">
        <x:v>21.7</x:v>
      </x:c>
    </x:row>
    <x:row r="167">
      <x:c r="B167" s="3"/>
      <x:c r="C167" s="3" t="str">
        <x:v>Downside</x:v>
      </x:c>
      <x:c r="D167" s="3"/>
      <x:c r="E167" s="3"/>
      <x:c r="F167" s="3"/>
      <x:c r="G167" s="3"/>
      <x:c r="H167" s="3" t="n">
        <x:v>13.6</x:v>
      </x:c>
      <x:c r="I167" s="3" t="n">
        <x:v>13.8</x:v>
      </x:c>
      <x:c r="J167" s="3" t="n">
        <x:v>13.8</x:v>
      </x:c>
      <x:c r="K167" s="3" t="n">
        <x:v>13.8</x:v>
      </x:c>
      <x:c r="L167" s="3" t="n">
        <x:v>13.8</x:v>
      </x:c>
      <x:c r="M167" s="3" t="n">
        <x:v>13.8</x:v>
      </x:c>
      <x:c r="N167" s="3" t="n">
        <x:v>13.8</x:v>
      </x:c>
      <x:c r="O167" s="3" t="n">
        <x:v>13.8</x:v>
      </x:c>
      <x:c r="P167" s="3" t="n">
        <x:v>13.8</x:v>
      </x:c>
      <x:c r="Q167" s="3" t="n">
        <x:v>13.8</x:v>
      </x:c>
      <x:c r="R167" s="3" t="n">
        <x:v>13.8</x:v>
      </x:c>
      <x:c r="S167" s="3" t="n">
        <x:v>13.8</x:v>
      </x:c>
    </x:row>
    <x:row r="168">
      <x:c r="B168" s="9" t="str">
        <x:v>nonoperating income m</x:v>
      </x:c>
      <x:c r="C168" s="9" t="str">
        <x:v>ACTIVE</x:v>
      </x:c>
      <x:c r="D168" s="9" t="str">
        <x:v>USD millions</x:v>
      </x:c>
      <x:c r="E168" s="9" t="str">
        <x:v>2026Q2 $129m unusual gains; 2026Q1 $0m</x:v>
      </x:c>
      <x:c r="F168" s="9"/>
      <x:c r="G168" s="9"/>
      <x:c r="H168" s="9" t="n">
        <x:f>CHOOSE($D$4,H169,H170,H171)</x:f>
        <x:v>0</x:v>
      </x:c>
      <x:c r="I168" s="9" t="n">
        <x:f>CHOOSE($D$4,I169,I170,I171)</x:f>
        <x:v>0</x:v>
      </x:c>
      <x:c r="J168" s="9" t="n">
        <x:f>CHOOSE($D$4,J169,J170,J171)</x:f>
        <x:v>0</x:v>
      </x:c>
      <x:c r="K168" s="9" t="n">
        <x:f>CHOOSE($D$4,K169,K170,K171)</x:f>
        <x:v>0</x:v>
      </x:c>
      <x:c r="L168" s="9" t="n">
        <x:f>CHOOSE($D$4,L169,L170,L171)</x:f>
        <x:v>0</x:v>
      </x:c>
      <x:c r="M168" s="9" t="n">
        <x:f>CHOOSE($D$4,M169,M170,M171)</x:f>
        <x:v>0</x:v>
      </x:c>
      <x:c r="N168" s="9" t="n">
        <x:f>CHOOSE($D$4,N169,N170,N171)</x:f>
        <x:v>0</x:v>
      </x:c>
      <x:c r="O168" s="9" t="n">
        <x:f>CHOOSE($D$4,O169,O170,O171)</x:f>
        <x:v>0</x:v>
      </x:c>
      <x:c r="P168" s="9" t="n">
        <x:f>CHOOSE($D$4,P169,P170,P171)</x:f>
        <x:v>0</x:v>
      </x:c>
      <x:c r="Q168" s="9" t="n">
        <x:f>CHOOSE($D$4,Q169,Q170,Q171)</x:f>
        <x:v>0</x:v>
      </x:c>
      <x:c r="R168" s="9" t="n">
        <x:f>CHOOSE($D$4,R169,R170,R171)</x:f>
        <x:v>0</x:v>
      </x:c>
      <x:c r="S168" s="9" t="n">
        <x:f>CHOOSE($D$4,S169,S170,S171)</x:f>
        <x:v>0</x:v>
      </x:c>
    </x:row>
    <x:row r="169">
      <x:c r="B169" s="3"/>
      <x:c r="C169" s="3" t="str">
        <x:v>Base</x:v>
      </x:c>
      <x:c r="D169" s="3"/>
      <x:c r="E169" s="3"/>
      <x:c r="F169" s="3"/>
      <x:c r="G169" s="3"/>
      <x:c r="H169" s="3" t="n">
        <x:v>0</x:v>
      </x:c>
      <x:c r="I169" s="3" t="n">
        <x:v>0</x:v>
      </x:c>
      <x:c r="J169" s="3" t="n">
        <x:v>0</x:v>
      </x:c>
      <x:c r="K169" s="3" t="n">
        <x:v>0</x:v>
      </x:c>
      <x:c r="L169" s="3" t="n">
        <x:v>0</x:v>
      </x:c>
      <x:c r="M169" s="3" t="n">
        <x:v>0</x:v>
      </x:c>
      <x:c r="N169" s="3" t="n">
        <x:v>0</x:v>
      </x:c>
      <x:c r="O169" s="3" t="n">
        <x:v>0</x:v>
      </x:c>
      <x:c r="P169" s="3" t="n">
        <x:v>0</x:v>
      </x:c>
      <x:c r="Q169" s="3" t="n">
        <x:v>0</x:v>
      </x:c>
      <x:c r="R169" s="3" t="n">
        <x:v>0</x:v>
      </x:c>
      <x:c r="S169" s="3" t="n">
        <x:v>0</x:v>
      </x:c>
    </x:row>
    <x:row r="170">
      <x:c r="B170" s="3"/>
      <x:c r="C170" s="3" t="str">
        <x:v>Upside</x:v>
      </x:c>
      <x:c r="D170" s="3"/>
      <x:c r="E170" s="3"/>
      <x:c r="F170" s="3"/>
      <x:c r="G170" s="3"/>
      <x:c r="H170" s="3" t="n">
        <x:v>0</x:v>
      </x:c>
      <x:c r="I170" s="3" t="n">
        <x:v>0</x:v>
      </x:c>
      <x:c r="J170" s="3" t="n">
        <x:v>0</x:v>
      </x:c>
      <x:c r="K170" s="3" t="n">
        <x:v>0</x:v>
      </x:c>
      <x:c r="L170" s="3" t="n">
        <x:v>0</x:v>
      </x:c>
      <x:c r="M170" s="3" t="n">
        <x:v>0</x:v>
      </x:c>
      <x:c r="N170" s="3" t="n">
        <x:v>0</x:v>
      </x:c>
      <x:c r="O170" s="3" t="n">
        <x:v>0</x:v>
      </x:c>
      <x:c r="P170" s="3" t="n">
        <x:v>0</x:v>
      </x:c>
      <x:c r="Q170" s="3" t="n">
        <x:v>0</x:v>
      </x:c>
      <x:c r="R170" s="3" t="n">
        <x:v>0</x:v>
      </x:c>
      <x:c r="S170" s="3" t="n">
        <x:v>0</x:v>
      </x:c>
    </x:row>
    <x:row r="171">
      <x:c r="B171" s="3"/>
      <x:c r="C171" s="3" t="str">
        <x:v>Downside</x:v>
      </x:c>
      <x:c r="D171" s="3"/>
      <x:c r="E171" s="3"/>
      <x:c r="F171" s="3"/>
      <x:c r="G171" s="3"/>
      <x:c r="H171" s="3" t="n">
        <x:v>0</x:v>
      </x:c>
      <x:c r="I171" s="3" t="n">
        <x:v>0</x:v>
      </x:c>
      <x:c r="J171" s="3" t="n">
        <x:v>0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3" t="n">
        <x:v>0</x:v>
      </x:c>
      <x:c r="S171" s="3" t="n">
        <x:v>0</x:v>
      </x:c>
    </x:row>
    <x:row r="172">
      <x:c r="B172" s="9" t="str">
        <x:v>operations base m</x:v>
      </x:c>
      <x:c r="C172" s="9" t="str">
        <x:v>ACTIVE</x:v>
      </x:c>
      <x:c r="D172" s="9" t="str">
        <x:v>USD millions</x:v>
      </x:c>
      <x:c r="E172" s="9" t="str">
        <x:v>Q2 $57m; +$5m H2 operating investment allowance</x:v>
      </x:c>
      <x:c r="F172" s="9"/>
      <x:c r="G172" s="9"/>
      <x:c r="H172" s="9" t="n">
        <x:f>CHOOSE($D$4,H173,H174,H175)</x:f>
        <x:v>62</x:v>
      </x:c>
      <x:c r="I172" s="9" t="n">
        <x:f>CHOOSE($D$4,I173,I174,I175)</x:f>
        <x:v>62</x:v>
      </x:c>
      <x:c r="J172" s="9" t="n">
        <x:f>CHOOSE($D$4,J173,J174,J175)</x:f>
        <x:v>62</x:v>
      </x:c>
      <x:c r="K172" s="9" t="n">
        <x:f>CHOOSE($D$4,K173,K174,K175)</x:f>
        <x:v>62</x:v>
      </x:c>
      <x:c r="L172" s="9" t="n">
        <x:f>CHOOSE($D$4,L173,L174,L175)</x:f>
        <x:v>62</x:v>
      </x:c>
      <x:c r="M172" s="9" t="n">
        <x:f>CHOOSE($D$4,M173,M174,M175)</x:f>
        <x:v>62</x:v>
      </x:c>
      <x:c r="N172" s="9" t="n">
        <x:f>CHOOSE($D$4,N173,N174,N175)</x:f>
        <x:v>62</x:v>
      </x:c>
      <x:c r="O172" s="9" t="n">
        <x:f>CHOOSE($D$4,O173,O174,O175)</x:f>
        <x:v>62</x:v>
      </x:c>
      <x:c r="P172" s="9" t="n">
        <x:f>CHOOSE($D$4,P173,P174,P175)</x:f>
        <x:v>62</x:v>
      </x:c>
      <x:c r="Q172" s="9" t="n">
        <x:f>CHOOSE($D$4,Q173,Q174,Q175)</x:f>
        <x:v>62</x:v>
      </x:c>
      <x:c r="R172" s="9" t="n">
        <x:f>CHOOSE($D$4,R173,R174,R175)</x:f>
        <x:v>62</x:v>
      </x:c>
      <x:c r="S172" s="9" t="n">
        <x:f>CHOOSE($D$4,S173,S174,S175)</x:f>
        <x:v>62</x:v>
      </x:c>
    </x:row>
    <x:row r="173">
      <x:c r="B173" s="3"/>
      <x:c r="C173" s="3" t="str">
        <x:v>Base</x:v>
      </x:c>
      <x:c r="D173" s="3"/>
      <x:c r="E173" s="3"/>
      <x:c r="F173" s="3"/>
      <x:c r="G173" s="3"/>
      <x:c r="H173" s="3" t="n">
        <x:v>62</x:v>
      </x:c>
      <x:c r="I173" s="3" t="n">
        <x:v>62</x:v>
      </x:c>
      <x:c r="J173" s="3" t="n">
        <x:v>62</x:v>
      </x:c>
      <x:c r="K173" s="3" t="n">
        <x:v>62</x:v>
      </x:c>
      <x:c r="L173" s="3" t="n">
        <x:v>62</x:v>
      </x:c>
      <x:c r="M173" s="3" t="n">
        <x:v>62</x:v>
      </x:c>
      <x:c r="N173" s="3" t="n">
        <x:v>62</x:v>
      </x:c>
      <x:c r="O173" s="3" t="n">
        <x:v>62</x:v>
      </x:c>
      <x:c r="P173" s="3" t="n">
        <x:v>62</x:v>
      </x:c>
      <x:c r="Q173" s="3" t="n">
        <x:v>62</x:v>
      </x:c>
      <x:c r="R173" s="3" t="n">
        <x:v>62</x:v>
      </x:c>
      <x:c r="S173" s="3" t="n">
        <x:v>62</x:v>
      </x:c>
    </x:row>
    <x:row r="174">
      <x:c r="B174" s="3"/>
      <x:c r="C174" s="3" t="str">
        <x:v>Upside</x:v>
      </x:c>
      <x:c r="D174" s="3"/>
      <x:c r="E174" s="3"/>
      <x:c r="F174" s="3"/>
      <x:c r="G174" s="3"/>
      <x:c r="H174" s="3" t="n">
        <x:v>62</x:v>
      </x:c>
      <x:c r="I174" s="3" t="n">
        <x:v>62</x:v>
      </x:c>
      <x:c r="J174" s="3" t="n">
        <x:v>62</x:v>
      </x:c>
      <x:c r="K174" s="3" t="n">
        <x:v>62</x:v>
      </x:c>
      <x:c r="L174" s="3" t="n">
        <x:v>62</x:v>
      </x:c>
      <x:c r="M174" s="3" t="n">
        <x:v>62</x:v>
      </x:c>
      <x:c r="N174" s="3" t="n">
        <x:v>62</x:v>
      </x:c>
      <x:c r="O174" s="3" t="n">
        <x:v>62</x:v>
      </x:c>
      <x:c r="P174" s="3" t="n">
        <x:v>62</x:v>
      </x:c>
      <x:c r="Q174" s="3" t="n">
        <x:v>62</x:v>
      </x:c>
      <x:c r="R174" s="3" t="n">
        <x:v>62</x:v>
      </x:c>
      <x:c r="S174" s="3" t="n">
        <x:v>62</x:v>
      </x:c>
    </x:row>
    <x:row r="175">
      <x:c r="B175" s="3"/>
      <x:c r="C175" s="3" t="str">
        <x:v>Downside</x:v>
      </x:c>
      <x:c r="D175" s="3"/>
      <x:c r="E175" s="3"/>
      <x:c r="F175" s="3"/>
      <x:c r="G175" s="3"/>
      <x:c r="H175" s="3" t="n">
        <x:v>62</x:v>
      </x:c>
      <x:c r="I175" s="3" t="n">
        <x:v>62</x:v>
      </x:c>
      <x:c r="J175" s="3" t="n">
        <x:v>62</x:v>
      </x:c>
      <x:c r="K175" s="3" t="n">
        <x:v>62</x:v>
      </x:c>
      <x:c r="L175" s="3" t="n">
        <x:v>62</x:v>
      </x:c>
      <x:c r="M175" s="3" t="n">
        <x:v>62</x:v>
      </x:c>
      <x:c r="N175" s="3" t="n">
        <x:v>62</x:v>
      </x:c>
      <x:c r="O175" s="3" t="n">
        <x:v>62</x:v>
      </x:c>
      <x:c r="P175" s="3" t="n">
        <x:v>62</x:v>
      </x:c>
      <x:c r="Q175" s="3" t="n">
        <x:v>62</x:v>
      </x:c>
      <x:c r="R175" s="3" t="n">
        <x:v>62</x:v>
      </x:c>
      <x:c r="S175" s="3" t="n">
        <x:v>62</x:v>
      </x:c>
    </x:row>
    <x:row r="176">
      <x:c r="B176" s="9" t="str">
        <x:v>operations customer variable share</x:v>
      </x:c>
      <x:c r="C176" s="9" t="str">
        <x:v>ACTIVE</x:v>
      </x:c>
      <x:c r="D176" s="9" t="str">
        <x:v>fraction</x:v>
      </x:c>
      <x:c r="E176" s="9" t="str">
        <x:v>2024–2025 operations expense grew 16% amid customer/account growth</x:v>
      </x:c>
      <x:c r="F176" s="9"/>
      <x:c r="G176" s="9"/>
      <x:c r="H176" s="9" t="n">
        <x:f>CHOOSE($D$4,H177,H178,H179)</x:f>
        <x:v>0.4</x:v>
      </x:c>
      <x:c r="I176" s="9" t="n">
        <x:f>CHOOSE($D$4,I177,I178,I179)</x:f>
        <x:v>0.4</x:v>
      </x:c>
      <x:c r="J176" s="9" t="n">
        <x:f>CHOOSE($D$4,J177,J178,J179)</x:f>
        <x:v>0.4</x:v>
      </x:c>
      <x:c r="K176" s="9" t="n">
        <x:f>CHOOSE($D$4,K177,K178,K179)</x:f>
        <x:v>0.4</x:v>
      </x:c>
      <x:c r="L176" s="9" t="n">
        <x:f>CHOOSE($D$4,L177,L178,L179)</x:f>
        <x:v>0.4</x:v>
      </x:c>
      <x:c r="M176" s="9" t="n">
        <x:f>CHOOSE($D$4,M177,M178,M179)</x:f>
        <x:v>0.4</x:v>
      </x:c>
      <x:c r="N176" s="9" t="n">
        <x:f>CHOOSE($D$4,N177,N178,N179)</x:f>
        <x:v>0.4</x:v>
      </x:c>
      <x:c r="O176" s="9" t="n">
        <x:f>CHOOSE($D$4,O177,O178,O179)</x:f>
        <x:v>0.4</x:v>
      </x:c>
      <x:c r="P176" s="9" t="n">
        <x:f>CHOOSE($D$4,P177,P178,P179)</x:f>
        <x:v>0.4</x:v>
      </x:c>
      <x:c r="Q176" s="9" t="n">
        <x:f>CHOOSE($D$4,Q177,Q178,Q179)</x:f>
        <x:v>0.4</x:v>
      </x:c>
      <x:c r="R176" s="9" t="n">
        <x:f>CHOOSE($D$4,R177,R178,R179)</x:f>
        <x:v>0.4</x:v>
      </x:c>
      <x:c r="S176" s="9" t="n">
        <x:f>CHOOSE($D$4,S177,S178,S179)</x:f>
        <x:v>0.4</x:v>
      </x:c>
    </x:row>
    <x:row r="177">
      <x:c r="B177" s="3"/>
      <x:c r="C177" s="3" t="str">
        <x:v>Base</x:v>
      </x:c>
      <x:c r="D177" s="3"/>
      <x:c r="E177" s="3"/>
      <x:c r="F177" s="3"/>
      <x:c r="G177" s="3"/>
      <x:c r="H177" s="3" t="n">
        <x:v>0.4</x:v>
      </x:c>
      <x:c r="I177" s="3" t="n">
        <x:v>0.4</x:v>
      </x:c>
      <x:c r="J177" s="3" t="n">
        <x:v>0.4</x:v>
      </x:c>
      <x:c r="K177" s="3" t="n">
        <x:v>0.4</x:v>
      </x:c>
      <x:c r="L177" s="3" t="n">
        <x:v>0.4</x:v>
      </x:c>
      <x:c r="M177" s="3" t="n">
        <x:v>0.4</x:v>
      </x:c>
      <x:c r="N177" s="3" t="n">
        <x:v>0.4</x:v>
      </x:c>
      <x:c r="O177" s="3" t="n">
        <x:v>0.4</x:v>
      </x:c>
      <x:c r="P177" s="3" t="n">
        <x:v>0.4</x:v>
      </x:c>
      <x:c r="Q177" s="3" t="n">
        <x:v>0.4</x:v>
      </x:c>
      <x:c r="R177" s="3" t="n">
        <x:v>0.4</x:v>
      </x:c>
      <x:c r="S177" s="3" t="n">
        <x:v>0.4</x:v>
      </x:c>
    </x:row>
    <x:row r="178">
      <x:c r="B178" s="3"/>
      <x:c r="C178" s="3" t="str">
        <x:v>Upside</x:v>
      </x:c>
      <x:c r="D178" s="3"/>
      <x:c r="E178" s="3"/>
      <x:c r="F178" s="3"/>
      <x:c r="G178" s="3"/>
      <x:c r="H178" s="3" t="n">
        <x:v>0.4</x:v>
      </x:c>
      <x:c r="I178" s="3" t="n">
        <x:v>0.4</x:v>
      </x:c>
      <x:c r="J178" s="3" t="n">
        <x:v>0.4</x:v>
      </x:c>
      <x:c r="K178" s="3" t="n">
        <x:v>0.4</x:v>
      </x:c>
      <x:c r="L178" s="3" t="n">
        <x:v>0.4</x:v>
      </x:c>
      <x:c r="M178" s="3" t="n">
        <x:v>0.4</x:v>
      </x:c>
      <x:c r="N178" s="3" t="n">
        <x:v>0.4</x:v>
      </x:c>
      <x:c r="O178" s="3" t="n">
        <x:v>0.4</x:v>
      </x:c>
      <x:c r="P178" s="3" t="n">
        <x:v>0.4</x:v>
      </x:c>
      <x:c r="Q178" s="3" t="n">
        <x:v>0.4</x:v>
      </x:c>
      <x:c r="R178" s="3" t="n">
        <x:v>0.4</x:v>
      </x:c>
      <x:c r="S178" s="3" t="n">
        <x:v>0.4</x:v>
      </x:c>
    </x:row>
    <x:row r="179">
      <x:c r="B179" s="3"/>
      <x:c r="C179" s="3" t="str">
        <x:v>Downside</x:v>
      </x:c>
      <x:c r="D179" s="3"/>
      <x:c r="E179" s="3"/>
      <x:c r="F179" s="3"/>
      <x:c r="G179" s="3"/>
      <x:c r="H179" s="3" t="n">
        <x:v>0.4</x:v>
      </x:c>
      <x:c r="I179" s="3" t="n">
        <x:v>0.4</x:v>
      </x:c>
      <x:c r="J179" s="3" t="n">
        <x:v>0.4</x:v>
      </x:c>
      <x:c r="K179" s="3" t="n">
        <x:v>0.4</x:v>
      </x:c>
      <x:c r="L179" s="3" t="n">
        <x:v>0.4</x:v>
      </x:c>
      <x:c r="M179" s="3" t="n">
        <x:v>0.4</x:v>
      </x:c>
      <x:c r="N179" s="3" t="n">
        <x:v>0.4</x:v>
      </x:c>
      <x:c r="O179" s="3" t="n">
        <x:v>0.4</x:v>
      </x:c>
      <x:c r="P179" s="3" t="n">
        <x:v>0.4</x:v>
      </x:c>
      <x:c r="Q179" s="3" t="n">
        <x:v>0.4</x:v>
      </x:c>
      <x:c r="R179" s="3" t="n">
        <x:v>0.4</x:v>
      </x:c>
      <x:c r="S179" s="3" t="n">
        <x:v>0.4</x:v>
      </x:c>
    </x:row>
    <x:row r="180">
      <x:c r="B180" s="9" t="str">
        <x:v>option revenue per contract usd</x:v>
      </x:c>
      <x:c r="C180" s="9" t="str">
        <x:v>ACTIVE</x:v>
      </x:c>
      <x:c r="D180" s="9" t="str">
        <x:v>USD per contract</x:v>
      </x:c>
      <x:c r="E180" s="9" t="str">
        <x:v>2025Q4–2026Q2 reported options revenue/contracts</x:v>
      </x:c>
      <x:c r="F180" s="9"/>
      <x:c r="G180" s="9"/>
      <x:c r="H180" s="9" t="n">
        <x:f>CHOOSE($D$4,H181,H182,H183)</x:f>
        <x:v>0.4435346298191743</x:v>
      </x:c>
      <x:c r="I180" s="9" t="n">
        <x:f>CHOOSE($D$4,I181,I182,I183)</x:f>
        <x:v>0.4435346298191743</x:v>
      </x:c>
      <x:c r="J180" s="9" t="n">
        <x:f>CHOOSE($D$4,J181,J182,J183)</x:f>
        <x:v>0.4435346298191743</x:v>
      </x:c>
      <x:c r="K180" s="9" t="n">
        <x:f>CHOOSE($D$4,K181,K182,K183)</x:f>
        <x:v>0.4435346298191743</x:v>
      </x:c>
      <x:c r="L180" s="9" t="n">
        <x:f>CHOOSE($D$4,L181,L182,L183)</x:f>
        <x:v>0.4435346298191743</x:v>
      </x:c>
      <x:c r="M180" s="9" t="n">
        <x:f>CHOOSE($D$4,M181,M182,M183)</x:f>
        <x:v>0.4435346298191743</x:v>
      </x:c>
      <x:c r="N180" s="9" t="n">
        <x:f>CHOOSE($D$4,N181,N182,N183)</x:f>
        <x:v>0.4435346298191743</x:v>
      </x:c>
      <x:c r="O180" s="9" t="n">
        <x:f>CHOOSE($D$4,O181,O182,O183)</x:f>
        <x:v>0.4435346298191743</x:v>
      </x:c>
      <x:c r="P180" s="9" t="n">
        <x:f>CHOOSE($D$4,P181,P182,P183)</x:f>
        <x:v>0.4435346298191743</x:v>
      </x:c>
      <x:c r="Q180" s="9" t="n">
        <x:f>CHOOSE($D$4,Q181,Q182,Q183)</x:f>
        <x:v>0.4435346298191743</x:v>
      </x:c>
      <x:c r="R180" s="9" t="n">
        <x:f>CHOOSE($D$4,R181,R182,R183)</x:f>
        <x:v>0.4435346298191743</x:v>
      </x:c>
      <x:c r="S180" s="9" t="n">
        <x:f>CHOOSE($D$4,S181,S182,S183)</x:f>
        <x:v>0.4435346298191743</x:v>
      </x:c>
    </x:row>
    <x:row r="181">
      <x:c r="B181" s="3"/>
      <x:c r="C181" s="3" t="str">
        <x:v>Base</x:v>
      </x:c>
      <x:c r="D181" s="3"/>
      <x:c r="E181" s="3"/>
      <x:c r="F181" s="3"/>
      <x:c r="G181" s="3"/>
      <x:c r="H181" s="3" t="n">
        <x:v>0.4435346298191743</x:v>
      </x:c>
      <x:c r="I181" s="3" t="n">
        <x:v>0.4435346298191743</x:v>
      </x:c>
      <x:c r="J181" s="3" t="n">
        <x:v>0.4435346298191743</x:v>
      </x:c>
      <x:c r="K181" s="3" t="n">
        <x:v>0.4435346298191743</x:v>
      </x:c>
      <x:c r="L181" s="3" t="n">
        <x:v>0.4435346298191743</x:v>
      </x:c>
      <x:c r="M181" s="3" t="n">
        <x:v>0.4435346298191743</x:v>
      </x:c>
      <x:c r="N181" s="3" t="n">
        <x:v>0.4435346298191743</x:v>
      </x:c>
      <x:c r="O181" s="3" t="n">
        <x:v>0.4435346298191743</x:v>
      </x:c>
      <x:c r="P181" s="3" t="n">
        <x:v>0.4435346298191743</x:v>
      </x:c>
      <x:c r="Q181" s="3" t="n">
        <x:v>0.4435346298191743</x:v>
      </x:c>
      <x:c r="R181" s="3" t="n">
        <x:v>0.4435346298191743</x:v>
      </x:c>
      <x:c r="S181" s="3" t="n">
        <x:v>0.4435346298191743</x:v>
      </x:c>
    </x:row>
    <x:row r="182">
      <x:c r="B182" s="3"/>
      <x:c r="C182" s="3" t="str">
        <x:v>Upside</x:v>
      </x:c>
      <x:c r="D182" s="3"/>
      <x:c r="E182" s="3"/>
      <x:c r="F182" s="3"/>
      <x:c r="G182" s="3"/>
      <x:c r="H182" s="3" t="n">
        <x:v>0.4435346298191743</x:v>
      </x:c>
      <x:c r="I182" s="3" t="n">
        <x:v>0.4435346298191743</x:v>
      </x:c>
      <x:c r="J182" s="3" t="n">
        <x:v>0.4435346298191743</x:v>
      </x:c>
      <x:c r="K182" s="3" t="n">
        <x:v>0.4435346298191743</x:v>
      </x:c>
      <x:c r="L182" s="3" t="n">
        <x:v>0.4435346298191743</x:v>
      </x:c>
      <x:c r="M182" s="3" t="n">
        <x:v>0.4435346298191743</x:v>
      </x:c>
      <x:c r="N182" s="3" t="n">
        <x:v>0.4435346298191743</x:v>
      </x:c>
      <x:c r="O182" s="3" t="n">
        <x:v>0.4435346298191743</x:v>
      </x:c>
      <x:c r="P182" s="3" t="n">
        <x:v>0.4435346298191743</x:v>
      </x:c>
      <x:c r="Q182" s="3" t="n">
        <x:v>0.4435346298191743</x:v>
      </x:c>
      <x:c r="R182" s="3" t="n">
        <x:v>0.4435346298191743</x:v>
      </x:c>
      <x:c r="S182" s="3" t="n">
        <x:v>0.4435346298191743</x:v>
      </x:c>
    </x:row>
    <x:row r="183">
      <x:c r="B183" s="3"/>
      <x:c r="C183" s="3" t="str">
        <x:v>Downside</x:v>
      </x:c>
      <x:c r="D183" s="3"/>
      <x:c r="E183" s="3"/>
      <x:c r="F183" s="3"/>
      <x:c r="G183" s="3"/>
      <x:c r="H183" s="3" t="n">
        <x:v>0.4213578983282156</x:v>
      </x:c>
      <x:c r="I183" s="3" t="n">
        <x:v>0.4213578983282156</x:v>
      </x:c>
      <x:c r="J183" s="3" t="n">
        <x:v>0.4213578983282156</x:v>
      </x:c>
      <x:c r="K183" s="3" t="n">
        <x:v>0.4213578983282156</x:v>
      </x:c>
      <x:c r="L183" s="3" t="n">
        <x:v>0.4213578983282156</x:v>
      </x:c>
      <x:c r="M183" s="3" t="n">
        <x:v>0.4213578983282156</x:v>
      </x:c>
      <x:c r="N183" s="3" t="n">
        <x:v>0.4213578983282156</x:v>
      </x:c>
      <x:c r="O183" s="3" t="n">
        <x:v>0.4213578983282156</x:v>
      </x:c>
      <x:c r="P183" s="3" t="n">
        <x:v>0.4213578983282156</x:v>
      </x:c>
      <x:c r="Q183" s="3" t="n">
        <x:v>0.4213578983282156</x:v>
      </x:c>
      <x:c r="R183" s="3" t="n">
        <x:v>0.4213578983282156</x:v>
      </x:c>
      <x:c r="S183" s="3" t="n">
        <x:v>0.4213578983282156</x:v>
      </x:c>
    </x:row>
    <x:row r="184">
      <x:c r="B184" s="9" t="str">
        <x:v>options per customer</x:v>
      </x:c>
      <x:c r="C184" s="9" t="str">
        <x:v>ACTIVE</x:v>
      </x:c>
      <x:c r="D184" s="9" t="str">
        <x:v>contracts per funded customer</x:v>
      </x:c>
      <x:c r="E184" s="9" t="str">
        <x:v>2025Q4–2026Q2 contracts / average funded customers</x:v>
      </x:c>
      <x:c r="F184" s="9"/>
      <x:c r="G184" s="9"/>
      <x:c r="H184" s="9" t="n">
        <x:f>CHOOSE($D$4,H185,H186,H187)</x:f>
        <x:v>26.12382246738884</x:v>
      </x:c>
      <x:c r="I184" s="9" t="n">
        <x:f>CHOOSE($D$4,I185,I186,I187)</x:f>
        <x:v>26.12382246738884</x:v>
      </x:c>
      <x:c r="J184" s="9" t="n">
        <x:f>CHOOSE($D$4,J185,J186,J187)</x:f>
        <x:v>26.12382246738884</x:v>
      </x:c>
      <x:c r="K184" s="9" t="n">
        <x:f>CHOOSE($D$4,K185,K186,K187)</x:f>
        <x:v>26.12382246738884</x:v>
      </x:c>
      <x:c r="L184" s="9" t="n">
        <x:f>CHOOSE($D$4,L185,L186,L187)</x:f>
        <x:v>26.12382246738884</x:v>
      </x:c>
      <x:c r="M184" s="9" t="n">
        <x:f>CHOOSE($D$4,M185,M186,M187)</x:f>
        <x:v>26.12382246738884</x:v>
      </x:c>
      <x:c r="N184" s="9" t="n">
        <x:f>CHOOSE($D$4,N185,N186,N187)</x:f>
        <x:v>26.12382246738884</x:v>
      </x:c>
      <x:c r="O184" s="9" t="n">
        <x:f>CHOOSE($D$4,O185,O186,O187)</x:f>
        <x:v>26.12382246738884</x:v>
      </x:c>
      <x:c r="P184" s="9" t="n">
        <x:f>CHOOSE($D$4,P185,P186,P187)</x:f>
        <x:v>26.12382246738884</x:v>
      </x:c>
      <x:c r="Q184" s="9" t="n">
        <x:f>CHOOSE($D$4,Q185,Q186,Q187)</x:f>
        <x:v>26.12382246738884</x:v>
      </x:c>
      <x:c r="R184" s="9" t="n">
        <x:f>CHOOSE($D$4,R185,R186,R187)</x:f>
        <x:v>26.12382246738884</x:v>
      </x:c>
      <x:c r="S184" s="9" t="n">
        <x:f>CHOOSE($D$4,S185,S186,S187)</x:f>
        <x:v>26.12382246738884</x:v>
      </x:c>
    </x:row>
    <x:row r="185">
      <x:c r="B185" s="3"/>
      <x:c r="C185" s="3" t="str">
        <x:v>Base</x:v>
      </x:c>
      <x:c r="D185" s="3"/>
      <x:c r="E185" s="3"/>
      <x:c r="F185" s="3"/>
      <x:c r="G185" s="3"/>
      <x:c r="H185" s="3" t="n">
        <x:v>26.12382246738884</x:v>
      </x:c>
      <x:c r="I185" s="3" t="n">
        <x:v>26.12382246738884</x:v>
      </x:c>
      <x:c r="J185" s="3" t="n">
        <x:v>26.12382246738884</x:v>
      </x:c>
      <x:c r="K185" s="3" t="n">
        <x:v>26.12382246738884</x:v>
      </x:c>
      <x:c r="L185" s="3" t="n">
        <x:v>26.12382246738884</x:v>
      </x:c>
      <x:c r="M185" s="3" t="n">
        <x:v>26.12382246738884</x:v>
      </x:c>
      <x:c r="N185" s="3" t="n">
        <x:v>26.12382246738884</x:v>
      </x:c>
      <x:c r="O185" s="3" t="n">
        <x:v>26.12382246738884</x:v>
      </x:c>
      <x:c r="P185" s="3" t="n">
        <x:v>26.12382246738884</x:v>
      </x:c>
      <x:c r="Q185" s="3" t="n">
        <x:v>26.12382246738884</x:v>
      </x:c>
      <x:c r="R185" s="3" t="n">
        <x:v>26.12382246738884</x:v>
      </x:c>
      <x:c r="S185" s="3" t="n">
        <x:v>26.12382246738884</x:v>
      </x:c>
    </x:row>
    <x:row r="186">
      <x:c r="B186" s="3"/>
      <x:c r="C186" s="3" t="str">
        <x:v>Upside</x:v>
      </x:c>
      <x:c r="D186" s="3"/>
      <x:c r="E186" s="3"/>
      <x:c r="F186" s="3"/>
      <x:c r="G186" s="3"/>
      <x:c r="H186" s="3" t="n">
        <x:v>30.042395837497164</x:v>
      </x:c>
      <x:c r="I186" s="3" t="n">
        <x:v>30.042395837497164</x:v>
      </x:c>
      <x:c r="J186" s="3" t="n">
        <x:v>30.042395837497164</x:v>
      </x:c>
      <x:c r="K186" s="3" t="n">
        <x:v>30.042395837497164</x:v>
      </x:c>
      <x:c r="L186" s="3" t="n">
        <x:v>30.042395837497164</x:v>
      </x:c>
      <x:c r="M186" s="3" t="n">
        <x:v>30.042395837497164</x:v>
      </x:c>
      <x:c r="N186" s="3" t="n">
        <x:v>30.042395837497164</x:v>
      </x:c>
      <x:c r="O186" s="3" t="n">
        <x:v>30.042395837497164</x:v>
      </x:c>
      <x:c r="P186" s="3" t="n">
        <x:v>30.042395837497164</x:v>
      </x:c>
      <x:c r="Q186" s="3" t="n">
        <x:v>30.042395837497164</x:v>
      </x:c>
      <x:c r="R186" s="3" t="n">
        <x:v>30.042395837497164</x:v>
      </x:c>
      <x:c r="S186" s="3" t="n">
        <x:v>30.042395837497164</x:v>
      </x:c>
    </x:row>
    <x:row r="187">
      <x:c r="B187" s="3"/>
      <x:c r="C187" s="3" t="str">
        <x:v>Downside</x:v>
      </x:c>
      <x:c r="D187" s="3"/>
      <x:c r="E187" s="3"/>
      <x:c r="F187" s="3"/>
      <x:c r="G187" s="3"/>
      <x:c r="H187" s="3" t="n">
        <x:v>20.899057973911074</x:v>
      </x:c>
      <x:c r="I187" s="3" t="n">
        <x:v>20.899057973911074</x:v>
      </x:c>
      <x:c r="J187" s="3" t="n">
        <x:v>20.899057973911074</x:v>
      </x:c>
      <x:c r="K187" s="3" t="n">
        <x:v>20.899057973911074</x:v>
      </x:c>
      <x:c r="L187" s="3" t="n">
        <x:v>20.899057973911074</x:v>
      </x:c>
      <x:c r="M187" s="3" t="n">
        <x:v>20.899057973911074</x:v>
      </x:c>
      <x:c r="N187" s="3" t="n">
        <x:v>20.899057973911074</x:v>
      </x:c>
      <x:c r="O187" s="3" t="n">
        <x:v>20.899057973911074</x:v>
      </x:c>
      <x:c r="P187" s="3" t="n">
        <x:v>20.899057973911074</x:v>
      </x:c>
      <x:c r="Q187" s="3" t="n">
        <x:v>20.899057973911074</x:v>
      </x:c>
      <x:c r="R187" s="3" t="n">
        <x:v>20.899057973911074</x:v>
      </x:c>
      <x:c r="S187" s="3" t="n">
        <x:v>20.899057973911074</x:v>
      </x:c>
    </x:row>
    <x:row r="188">
      <x:c r="B188" s="9" t="str">
        <x:v>other asset change b</x:v>
      </x:c>
      <x:c r="C188" s="9" t="str">
        <x:v>ACTIVE</x:v>
      </x:c>
      <x:c r="D188" s="9" t="str">
        <x:v>USD billions</x:v>
      </x:c>
      <x:c r="E188" s="9" t="str">
        <x:v>August assets $383.7b − June assets $368.7b − July/August deposits $9.6b</x:v>
      </x:c>
      <x:c r="F188" s="9"/>
      <x:c r="G188" s="9"/>
      <x:c r="H188" s="9" t="n">
        <x:f>CHOOSE($D$4,H189,H190,H191)</x:f>
        <x:v>5.4</x:v>
      </x:c>
      <x:c r="I188" s="9" t="n">
        <x:f>CHOOSE($D$4,I189,I190,I191)</x:f>
        <x:v>0</x:v>
      </x:c>
      <x:c r="J188" s="9" t="n">
        <x:f>CHOOSE($D$4,J189,J190,J191)</x:f>
        <x:v>0</x:v>
      </x:c>
      <x:c r="K188" s="9" t="n">
        <x:f>CHOOSE($D$4,K189,K190,K191)</x:f>
        <x:v>0</x:v>
      </x:c>
      <x:c r="L188" s="9" t="n">
        <x:f>CHOOSE($D$4,L189,L190,L191)</x:f>
        <x:v>0</x:v>
      </x:c>
      <x:c r="M188" s="9" t="n">
        <x:f>CHOOSE($D$4,M189,M190,M191)</x:f>
        <x:v>0</x:v>
      </x:c>
      <x:c r="N188" s="9" t="n">
        <x:f>CHOOSE($D$4,N189,N190,N191)</x:f>
        <x:v>0</x:v>
      </x:c>
      <x:c r="O188" s="9" t="n">
        <x:f>CHOOSE($D$4,O189,O190,O191)</x:f>
        <x:v>0</x:v>
      </x:c>
      <x:c r="P188" s="9" t="n">
        <x:f>CHOOSE($D$4,P189,P190,P191)</x:f>
        <x:v>0</x:v>
      </x:c>
      <x:c r="Q188" s="9" t="n">
        <x:f>CHOOSE($D$4,Q189,Q190,Q191)</x:f>
        <x:v>0</x:v>
      </x:c>
      <x:c r="R188" s="9" t="n">
        <x:f>CHOOSE($D$4,R189,R190,R191)</x:f>
        <x:v>0</x:v>
      </x:c>
      <x:c r="S188" s="9" t="n">
        <x:f>CHOOSE($D$4,S189,S190,S191)</x:f>
        <x:v>0</x:v>
      </x:c>
    </x:row>
    <x:row r="189">
      <x:c r="B189" s="3"/>
      <x:c r="C189" s="3" t="str">
        <x:v>Base</x:v>
      </x:c>
      <x:c r="D189" s="3"/>
      <x:c r="E189" s="3"/>
      <x:c r="F189" s="3"/>
      <x:c r="G189" s="3"/>
      <x:c r="H189" s="3" t="n">
        <x:v>5.4</x:v>
      </x:c>
      <x:c r="I189" s="3" t="n">
        <x:v>0</x:v>
      </x:c>
      <x:c r="J189" s="3" t="n">
        <x:v>0</x:v>
      </x:c>
      <x:c r="K189" s="3" t="n">
        <x:v>0</x:v>
      </x:c>
      <x:c r="L189" s="3" t="n">
        <x:v>0</x:v>
      </x:c>
      <x:c r="M189" s="3" t="n">
        <x:v>0</x:v>
      </x:c>
      <x:c r="N189" s="3" t="n">
        <x:v>0</x:v>
      </x:c>
      <x:c r="O189" s="3" t="n">
        <x:v>0</x:v>
      </x:c>
      <x:c r="P189" s="3" t="n">
        <x:v>0</x:v>
      </x:c>
      <x:c r="Q189" s="3" t="n">
        <x:v>0</x:v>
      </x:c>
      <x:c r="R189" s="3" t="n">
        <x:v>0</x:v>
      </x:c>
      <x:c r="S189" s="3" t="n">
        <x:v>0</x:v>
      </x:c>
    </x:row>
    <x:row r="190">
      <x:c r="B190" s="3"/>
      <x:c r="C190" s="3" t="str">
        <x:v>Upside</x:v>
      </x:c>
      <x:c r="D190" s="3"/>
      <x:c r="E190" s="3"/>
      <x:c r="F190" s="3"/>
      <x:c r="G190" s="3"/>
      <x:c r="H190" s="3" t="n">
        <x:v>5.4</x:v>
      </x:c>
      <x:c r="I190" s="3" t="n">
        <x:v>0</x:v>
      </x:c>
      <x:c r="J190" s="3" t="n">
        <x:v>0</x:v>
      </x:c>
      <x:c r="K190" s="3" t="n">
        <x:v>0</x:v>
      </x:c>
      <x:c r="L190" s="3" t="n">
        <x:v>0</x:v>
      </x:c>
      <x:c r="M190" s="3" t="n">
        <x:v>0</x:v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  <x:c r="R190" s="3" t="n">
        <x:v>0</x:v>
      </x:c>
      <x:c r="S190" s="3" t="n">
        <x:v>0</x:v>
      </x:c>
    </x:row>
    <x:row r="191">
      <x:c r="B191" s="3"/>
      <x:c r="C191" s="3" t="str">
        <x:v>Downside</x:v>
      </x:c>
      <x:c r="D191" s="3"/>
      <x:c r="E191" s="3"/>
      <x:c r="F191" s="3"/>
      <x:c r="G191" s="3"/>
      <x:c r="H191" s="3" t="n">
        <x:v>5.4</x:v>
      </x:c>
      <x:c r="I191" s="3" t="n">
        <x:v>0</x:v>
      </x:c>
      <x:c r="J191" s="3" t="n">
        <x:v>0</x:v>
      </x:c>
      <x:c r="K191" s="3" t="n">
        <x:v>0</x:v>
      </x:c>
      <x:c r="L191" s="3" t="n">
        <x:v>0</x:v>
      </x:c>
      <x:c r="M191" s="3" t="n">
        <x:v>0</x:v>
      </x:c>
      <x:c r="N191" s="3" t="n">
        <x:v>0</x:v>
      </x:c>
      <x:c r="O191" s="3" t="n">
        <x:v>0</x:v>
      </x:c>
      <x:c r="P191" s="3" t="n">
        <x:v>0</x:v>
      </x:c>
      <x:c r="Q191" s="3" t="n">
        <x:v>0</x:v>
      </x:c>
      <x:c r="R191" s="3" t="n">
        <x:v>0</x:v>
      </x:c>
      <x:c r="S191" s="3" t="n">
        <x:v>0</x:v>
      </x:c>
    </x:row>
    <x:row r="192">
      <x:c r="B192" s="9" t="str">
        <x:v>other transaction per customer usd</x:v>
      </x:c>
      <x:c r="C192" s="9" t="str">
        <x:v>ACTIVE</x:v>
      </x:c>
      <x:c r="D192" s="9" t="str">
        <x:v>USD per funded customer</x:v>
      </x:c>
      <x:c r="E192" s="9" t="str">
        <x:v>2026Q1–Q2 separately disclosed other transaction revenue</x:v>
      </x:c>
      <x:c r="F192" s="9"/>
      <x:c r="G192" s="9"/>
      <x:c r="H192" s="9" t="n">
        <x:f>CHOOSE($D$4,H193,H194,H195)</x:f>
        <x:v>1.6685773771874342</x:v>
      </x:c>
      <x:c r="I192" s="9" t="n">
        <x:f>CHOOSE($D$4,I193,I194,I195)</x:f>
        <x:v>1.6685773771874342</x:v>
      </x:c>
      <x:c r="J192" s="9" t="n">
        <x:f>CHOOSE($D$4,J193,J194,J195)</x:f>
        <x:v>1.6685773771874342</x:v>
      </x:c>
      <x:c r="K192" s="9" t="n">
        <x:f>CHOOSE($D$4,K193,K194,K195)</x:f>
        <x:v>1.6685773771874342</x:v>
      </x:c>
      <x:c r="L192" s="9" t="n">
        <x:f>CHOOSE($D$4,L193,L194,L195)</x:f>
        <x:v>1.6685773771874342</x:v>
      </x:c>
      <x:c r="M192" s="9" t="n">
        <x:f>CHOOSE($D$4,M193,M194,M195)</x:f>
        <x:v>1.6685773771874342</x:v>
      </x:c>
      <x:c r="N192" s="9" t="n">
        <x:f>CHOOSE($D$4,N193,N194,N195)</x:f>
        <x:v>1.6685773771874342</x:v>
      </x:c>
      <x:c r="O192" s="9" t="n">
        <x:f>CHOOSE($D$4,O193,O194,O195)</x:f>
        <x:v>1.6685773771874342</x:v>
      </x:c>
      <x:c r="P192" s="9" t="n">
        <x:f>CHOOSE($D$4,P193,P194,P195)</x:f>
        <x:v>1.6685773771874342</x:v>
      </x:c>
      <x:c r="Q192" s="9" t="n">
        <x:f>CHOOSE($D$4,Q193,Q194,Q195)</x:f>
        <x:v>1.6685773771874342</x:v>
      </x:c>
      <x:c r="R192" s="9" t="n">
        <x:f>CHOOSE($D$4,R193,R194,R195)</x:f>
        <x:v>1.6685773771874342</x:v>
      </x:c>
      <x:c r="S192" s="9" t="n">
        <x:f>CHOOSE($D$4,S193,S194,S195)</x:f>
        <x:v>1.6685773771874342</x:v>
      </x:c>
    </x:row>
    <x:row r="193">
      <x:c r="B193" s="3"/>
      <x:c r="C193" s="3" t="str">
        <x:v>Base</x:v>
      </x:c>
      <x:c r="D193" s="3"/>
      <x:c r="E193" s="3"/>
      <x:c r="F193" s="3"/>
      <x:c r="G193" s="3"/>
      <x:c r="H193" s="3" t="n">
        <x:v>1.6685773771874342</x:v>
      </x:c>
      <x:c r="I193" s="3" t="n">
        <x:v>1.6685773771874342</x:v>
      </x:c>
      <x:c r="J193" s="3" t="n">
        <x:v>1.6685773771874342</x:v>
      </x:c>
      <x:c r="K193" s="3" t="n">
        <x:v>1.6685773771874342</x:v>
      </x:c>
      <x:c r="L193" s="3" t="n">
        <x:v>1.6685773771874342</x:v>
      </x:c>
      <x:c r="M193" s="3" t="n">
        <x:v>1.6685773771874342</x:v>
      </x:c>
      <x:c r="N193" s="3" t="n">
        <x:v>1.6685773771874342</x:v>
      </x:c>
      <x:c r="O193" s="3" t="n">
        <x:v>1.6685773771874342</x:v>
      </x:c>
      <x:c r="P193" s="3" t="n">
        <x:v>1.6685773771874342</x:v>
      </x:c>
      <x:c r="Q193" s="3" t="n">
        <x:v>1.6685773771874342</x:v>
      </x:c>
      <x:c r="R193" s="3" t="n">
        <x:v>1.6685773771874342</x:v>
      </x:c>
      <x:c r="S193" s="3" t="n">
        <x:v>1.6685773771874342</x:v>
      </x:c>
    </x:row>
    <x:row r="194">
      <x:c r="B194" s="3"/>
      <x:c r="C194" s="3" t="str">
        <x:v>Upside</x:v>
      </x:c>
      <x:c r="D194" s="3"/>
      <x:c r="E194" s="3"/>
      <x:c r="F194" s="3"/>
      <x:c r="G194" s="3"/>
      <x:c r="H194" s="3" t="n">
        <x:v>1.6685773771874342</x:v>
      </x:c>
      <x:c r="I194" s="3" t="n">
        <x:v>1.6685773771874342</x:v>
      </x:c>
      <x:c r="J194" s="3" t="n">
        <x:v>1.6685773771874342</x:v>
      </x:c>
      <x:c r="K194" s="3" t="n">
        <x:v>1.6685773771874342</x:v>
      </x:c>
      <x:c r="L194" s="3" t="n">
        <x:v>1.6685773771874342</x:v>
      </x:c>
      <x:c r="M194" s="3" t="n">
        <x:v>1.6685773771874342</x:v>
      </x:c>
      <x:c r="N194" s="3" t="n">
        <x:v>1.6685773771874342</x:v>
      </x:c>
      <x:c r="O194" s="3" t="n">
        <x:v>1.6685773771874342</x:v>
      </x:c>
      <x:c r="P194" s="3" t="n">
        <x:v>1.6685773771874342</x:v>
      </x:c>
      <x:c r="Q194" s="3" t="n">
        <x:v>1.6685773771874342</x:v>
      </x:c>
      <x:c r="R194" s="3" t="n">
        <x:v>1.6685773771874342</x:v>
      </x:c>
      <x:c r="S194" s="3" t="n">
        <x:v>1.6685773771874342</x:v>
      </x:c>
    </x:row>
    <x:row r="195">
      <x:c r="B195" s="3"/>
      <x:c r="C195" s="3" t="str">
        <x:v>Downside</x:v>
      </x:c>
      <x:c r="D195" s="3"/>
      <x:c r="E195" s="3"/>
      <x:c r="F195" s="3"/>
      <x:c r="G195" s="3"/>
      <x:c r="H195" s="3" t="n">
        <x:v>1.6685773771874342</x:v>
      </x:c>
      <x:c r="I195" s="3" t="n">
        <x:v>1.6685773771874342</x:v>
      </x:c>
      <x:c r="J195" s="3" t="n">
        <x:v>1.6685773771874342</x:v>
      </x:c>
      <x:c r="K195" s="3" t="n">
        <x:v>1.6685773771874342</x:v>
      </x:c>
      <x:c r="L195" s="3" t="n">
        <x:v>1.6685773771874342</x:v>
      </x:c>
      <x:c r="M195" s="3" t="n">
        <x:v>1.6685773771874342</x:v>
      </x:c>
      <x:c r="N195" s="3" t="n">
        <x:v>1.6685773771874342</x:v>
      </x:c>
      <x:c r="O195" s="3" t="n">
        <x:v>1.6685773771874342</x:v>
      </x:c>
      <x:c r="P195" s="3" t="n">
        <x:v>1.6685773771874342</x:v>
      </x:c>
      <x:c r="Q195" s="3" t="n">
        <x:v>1.6685773771874342</x:v>
      </x:c>
      <x:c r="R195" s="3" t="n">
        <x:v>1.6685773771874342</x:v>
      </x:c>
      <x:c r="S195" s="3" t="n">
        <x:v>1.6685773771874342</x:v>
      </x:c>
    </x:row>
    <x:row r="196">
      <x:c r="B196" s="9" t="str">
        <x:v>policy rate context pct</x:v>
      </x:c>
      <x:c r="C196" s="9" t="str">
        <x:v>ACTIVE</x:v>
      </x:c>
      <x:c r="D196" s="9" t="str">
        <x:v>percent</x:v>
      </x:c>
      <x:c r="E196" s="9" t="str">
        <x:v>September 2026 FOMC SEP and target range</x:v>
      </x:c>
      <x:c r="F196" s="9"/>
      <x:c r="G196" s="9"/>
      <x:c r="H196" s="9" t="n">
        <x:f>CHOOSE($D$4,H197,H198,H199)</x:f>
        <x:v>3.875</x:v>
      </x:c>
      <x:c r="I196" s="9" t="n">
        <x:f>CHOOSE($D$4,I197,I198,I199)</x:f>
        <x:v>4.1</x:v>
      </x:c>
      <x:c r="J196" s="9" t="n">
        <x:f>CHOOSE($D$4,J197,J198,J199)</x:f>
        <x:v>4.05</x:v>
      </x:c>
      <x:c r="K196" s="9" t="n">
        <x:f>CHOOSE($D$4,K197,K198,K199)</x:f>
        <x:v>4</x:v>
      </x:c>
      <x:c r="L196" s="9" t="n">
        <x:f>CHOOSE($D$4,L197,L198,L199)</x:f>
        <x:v>3.9499999999999997</x:v>
      </x:c>
      <x:c r="M196" s="9" t="n">
        <x:f>CHOOSE($D$4,M197,M198,M199)</x:f>
        <x:v>3.9</x:v>
      </x:c>
      <x:c r="N196" s="9" t="n">
        <x:f>CHOOSE($D$4,N197,N198,N199)</x:f>
        <x:v>3.825</x:v>
      </x:c>
      <x:c r="O196" s="9" t="n">
        <x:f>CHOOSE($D$4,O197,O198,O199)</x:f>
        <x:v>3.75</x:v>
      </x:c>
      <x:c r="P196" s="9" t="n">
        <x:f>CHOOSE($D$4,P197,P198,P199)</x:f>
        <x:v>3.675</x:v>
      </x:c>
      <x:c r="Q196" s="9" t="n">
        <x:f>CHOOSE($D$4,Q197,Q198,Q199)</x:f>
        <x:v>3.6</x:v>
      </x:c>
      <x:c r="R196" s="9" t="n">
        <x:f>CHOOSE($D$4,R197,R198,R199)</x:f>
        <x:v>3.5</x:v>
      </x:c>
      <x:c r="S196" s="9" t="n">
        <x:f>CHOOSE($D$4,S197,S198,S199)</x:f>
        <x:v>3.4000000000000004</x:v>
      </x:c>
    </x:row>
    <x:row r="197">
      <x:c r="B197" s="3"/>
      <x:c r="C197" s="3" t="str">
        <x:v>Base</x:v>
      </x:c>
      <x:c r="D197" s="3"/>
      <x:c r="E197" s="3"/>
      <x:c r="F197" s="3"/>
      <x:c r="G197" s="3"/>
      <x:c r="H197" s="3" t="n">
        <x:v>3.875</x:v>
      </x:c>
      <x:c r="I197" s="3" t="n">
        <x:v>4.1</x:v>
      </x:c>
      <x:c r="J197" s="3" t="n">
        <x:v>4.05</x:v>
      </x:c>
      <x:c r="K197" s="3" t="n">
        <x:v>4</x:v>
      </x:c>
      <x:c r="L197" s="3" t="n">
        <x:v>3.9499999999999997</x:v>
      </x:c>
      <x:c r="M197" s="3" t="n">
        <x:v>3.9</x:v>
      </x:c>
      <x:c r="N197" s="3" t="n">
        <x:v>3.825</x:v>
      </x:c>
      <x:c r="O197" s="3" t="n">
        <x:v>3.75</x:v>
      </x:c>
      <x:c r="P197" s="3" t="n">
        <x:v>3.675</x:v>
      </x:c>
      <x:c r="Q197" s="3" t="n">
        <x:v>3.6</x:v>
      </x:c>
      <x:c r="R197" s="3" t="n">
        <x:v>3.5</x:v>
      </x:c>
      <x:c r="S197" s="3" t="n">
        <x:v>3.4000000000000004</x:v>
      </x:c>
    </x:row>
    <x:row r="198">
      <x:c r="B198" s="3"/>
      <x:c r="C198" s="3" t="str">
        <x:v>Upside</x:v>
      </x:c>
      <x:c r="D198" s="3"/>
      <x:c r="E198" s="3"/>
      <x:c r="F198" s="3"/>
      <x:c r="G198" s="3"/>
      <x:c r="H198" s="3" t="n">
        <x:v>3.875</x:v>
      </x:c>
      <x:c r="I198" s="3" t="n">
        <x:v>4.1</x:v>
      </x:c>
      <x:c r="J198" s="3" t="n">
        <x:v>4.05</x:v>
      </x:c>
      <x:c r="K198" s="3" t="n">
        <x:v>4</x:v>
      </x:c>
      <x:c r="L198" s="3" t="n">
        <x:v>3.9499999999999997</x:v>
      </x:c>
      <x:c r="M198" s="3" t="n">
        <x:v>3.9</x:v>
      </x:c>
      <x:c r="N198" s="3" t="n">
        <x:v>3.825</x:v>
      </x:c>
      <x:c r="O198" s="3" t="n">
        <x:v>3.75</x:v>
      </x:c>
      <x:c r="P198" s="3" t="n">
        <x:v>3.675</x:v>
      </x:c>
      <x:c r="Q198" s="3" t="n">
        <x:v>3.6</x:v>
      </x:c>
      <x:c r="R198" s="3" t="n">
        <x:v>3.5</x:v>
      </x:c>
      <x:c r="S198" s="3" t="n">
        <x:v>3.4000000000000004</x:v>
      </x:c>
    </x:row>
    <x:row r="199">
      <x:c r="B199" s="3"/>
      <x:c r="C199" s="3" t="str">
        <x:v>Downside</x:v>
      </x:c>
      <x:c r="D199" s="3"/>
      <x:c r="E199" s="3"/>
      <x:c r="F199" s="3"/>
      <x:c r="G199" s="3"/>
      <x:c r="H199" s="3" t="n">
        <x:v>3.625</x:v>
      </x:c>
      <x:c r="I199" s="3" t="n">
        <x:v>3.5999999999999996</x:v>
      </x:c>
      <x:c r="J199" s="3" t="n">
        <x:v>3.3</x:v>
      </x:c>
      <x:c r="K199" s="3" t="n">
        <x:v>3</x:v>
      </x:c>
      <x:c r="L199" s="3" t="n">
        <x:v>2.9499999999999997</x:v>
      </x:c>
      <x:c r="M199" s="3" t="n">
        <x:v>2.9</x:v>
      </x:c>
      <x:c r="N199" s="3" t="n">
        <x:v>2.825</x:v>
      </x:c>
      <x:c r="O199" s="3" t="n">
        <x:v>2.75</x:v>
      </x:c>
      <x:c r="P199" s="3" t="n">
        <x:v>2.675</x:v>
      </x:c>
      <x:c r="Q199" s="3" t="n">
        <x:v>2.6</x:v>
      </x:c>
      <x:c r="R199" s="3" t="n">
        <x:v>2.5</x:v>
      </x:c>
      <x:c r="S199" s="3" t="n">
        <x:v>2.4000000000000004</x:v>
      </x:c>
    </x:row>
    <x:row r="200">
      <x:c r="B200" s="9" t="str">
        <x:v>proxy revenue m</x:v>
      </x:c>
      <x:c r="C200" s="9" t="str">
        <x:v>ACTIVE</x:v>
      </x:c>
      <x:c r="D200" s="9" t="str">
        <x:v>USD millions</x:v>
      </x:c>
      <x:c r="E200" s="9" t="str">
        <x:v>2025 quarterly proxy 9/36/7/11m; 2026Q1/Q2 8/42m</x:v>
      </x:c>
      <x:c r="F200" s="9"/>
      <x:c r="G200" s="9"/>
      <x:c r="H200" s="9" t="n">
        <x:f>CHOOSE($D$4,H201,H202,H203)</x:f>
        <x:v>7</x:v>
      </x:c>
      <x:c r="I200" s="9" t="n">
        <x:f>CHOOSE($D$4,I201,I202,I203)</x:f>
        <x:v>11</x:v>
      </x:c>
      <x:c r="J200" s="9" t="n">
        <x:f>CHOOSE($D$4,J201,J202,J203)</x:f>
        <x:v>8</x:v>
      </x:c>
      <x:c r="K200" s="9" t="n">
        <x:f>CHOOSE($D$4,K201,K202,K203)</x:f>
        <x:v>42</x:v>
      </x:c>
      <x:c r="L200" s="9" t="n">
        <x:f>CHOOSE($D$4,L201,L202,L203)</x:f>
        <x:v>7</x:v>
      </x:c>
      <x:c r="M200" s="9" t="n">
        <x:f>CHOOSE($D$4,M201,M202,M203)</x:f>
        <x:v>11</x:v>
      </x:c>
      <x:c r="N200" s="9" t="n">
        <x:f>CHOOSE($D$4,N201,N202,N203)</x:f>
        <x:v>8</x:v>
      </x:c>
      <x:c r="O200" s="9" t="n">
        <x:f>CHOOSE($D$4,O201,O202,O203)</x:f>
        <x:v>42</x:v>
      </x:c>
      <x:c r="P200" s="9" t="n">
        <x:f>CHOOSE($D$4,P201,P202,P203)</x:f>
        <x:v>7</x:v>
      </x:c>
      <x:c r="Q200" s="9" t="n">
        <x:f>CHOOSE($D$4,Q201,Q202,Q203)</x:f>
        <x:v>11</x:v>
      </x:c>
      <x:c r="R200" s="9" t="n">
        <x:f>CHOOSE($D$4,R201,R202,R203)</x:f>
        <x:v>8</x:v>
      </x:c>
      <x:c r="S200" s="9" t="n">
        <x:f>CHOOSE($D$4,S201,S202,S203)</x:f>
        <x:v>42</x:v>
      </x:c>
    </x:row>
    <x:row r="201">
      <x:c r="B201" s="3"/>
      <x:c r="C201" s="3" t="str">
        <x:v>Base</x:v>
      </x:c>
      <x:c r="D201" s="3"/>
      <x:c r="E201" s="3"/>
      <x:c r="F201" s="3"/>
      <x:c r="G201" s="3"/>
      <x:c r="H201" s="3" t="n">
        <x:v>7</x:v>
      </x:c>
      <x:c r="I201" s="3" t="n">
        <x:v>11</x:v>
      </x:c>
      <x:c r="J201" s="3" t="n">
        <x:v>8</x:v>
      </x:c>
      <x:c r="K201" s="3" t="n">
        <x:v>42</x:v>
      </x:c>
      <x:c r="L201" s="3" t="n">
        <x:v>7</x:v>
      </x:c>
      <x:c r="M201" s="3" t="n">
        <x:v>11</x:v>
      </x:c>
      <x:c r="N201" s="3" t="n">
        <x:v>8</x:v>
      </x:c>
      <x:c r="O201" s="3" t="n">
        <x:v>42</x:v>
      </x:c>
      <x:c r="P201" s="3" t="n">
        <x:v>7</x:v>
      </x:c>
      <x:c r="Q201" s="3" t="n">
        <x:v>11</x:v>
      </x:c>
      <x:c r="R201" s="3" t="n">
        <x:v>8</x:v>
      </x:c>
      <x:c r="S201" s="3" t="n">
        <x:v>42</x:v>
      </x:c>
    </x:row>
    <x:row r="202">
      <x:c r="B202" s="3"/>
      <x:c r="C202" s="3" t="str">
        <x:v>Upside</x:v>
      </x:c>
      <x:c r="D202" s="3"/>
      <x:c r="E202" s="3"/>
      <x:c r="F202" s="3"/>
      <x:c r="G202" s="3"/>
      <x:c r="H202" s="3" t="n">
        <x:v>7.3500000000000005</x:v>
      </x:c>
      <x:c r="I202" s="3" t="n">
        <x:v>11.55</x:v>
      </x:c>
      <x:c r="J202" s="3" t="n">
        <x:v>8.4</x:v>
      </x:c>
      <x:c r="K202" s="3" t="n">
        <x:v>44.1</x:v>
      </x:c>
      <x:c r="L202" s="3" t="n">
        <x:v>7.3500000000000005</x:v>
      </x:c>
      <x:c r="M202" s="3" t="n">
        <x:v>11.55</x:v>
      </x:c>
      <x:c r="N202" s="3" t="n">
        <x:v>8.4</x:v>
      </x:c>
      <x:c r="O202" s="3" t="n">
        <x:v>44.1</x:v>
      </x:c>
      <x:c r="P202" s="3" t="n">
        <x:v>7.3500000000000005</x:v>
      </x:c>
      <x:c r="Q202" s="3" t="n">
        <x:v>11.55</x:v>
      </x:c>
      <x:c r="R202" s="3" t="n">
        <x:v>8.4</x:v>
      </x:c>
      <x:c r="S202" s="3" t="n">
        <x:v>44.1</x:v>
      </x:c>
    </x:row>
    <x:row r="203">
      <x:c r="B203" s="3"/>
      <x:c r="C203" s="3" t="str">
        <x:v>Downside</x:v>
      </x:c>
      <x:c r="D203" s="3"/>
      <x:c r="E203" s="3"/>
      <x:c r="F203" s="3"/>
      <x:c r="G203" s="3"/>
      <x:c r="H203" s="3" t="n">
        <x:v>6.3</x:v>
      </x:c>
      <x:c r="I203" s="3" t="n">
        <x:v>9.9</x:v>
      </x:c>
      <x:c r="J203" s="3" t="n">
        <x:v>7.2</x:v>
      </x:c>
      <x:c r="K203" s="3" t="n">
        <x:v>37.800000000000004</x:v>
      </x:c>
      <x:c r="L203" s="3" t="n">
        <x:v>6.3</x:v>
      </x:c>
      <x:c r="M203" s="3" t="n">
        <x:v>9.9</x:v>
      </x:c>
      <x:c r="N203" s="3" t="n">
        <x:v>7.2</x:v>
      </x:c>
      <x:c r="O203" s="3" t="n">
        <x:v>37.800000000000004</x:v>
      </x:c>
      <x:c r="P203" s="3" t="n">
        <x:v>6.3</x:v>
      </x:c>
      <x:c r="Q203" s="3" t="n">
        <x:v>9.9</x:v>
      </x:c>
      <x:c r="R203" s="3" t="n">
        <x:v>7.2</x:v>
      </x:c>
      <x:c r="S203" s="3" t="n">
        <x:v>37.800000000000004</x:v>
      </x:c>
    </x:row>
    <x:row r="204">
      <x:c r="B204" s="9" t="str">
        <x:v>residual other revenue m</x:v>
      </x:c>
      <x:c r="C204" s="9" t="str">
        <x:v>ACTIVE</x:v>
      </x:c>
      <x:c r="D204" s="9" t="str">
        <x:v>USD millions</x:v>
      </x:c>
      <x:c r="E204" s="9" t="str">
        <x:v>2025Q4 and 2026Q1 non-Gold/non-proxy 35/27m; 2026Q2 47m</x:v>
      </x:c>
      <x:c r="F204" s="9"/>
      <x:c r="G204" s="9"/>
      <x:c r="H204" s="9" t="n">
        <x:f>CHOOSE($D$4,H205,H206,H207)</x:f>
        <x:v>35</x:v>
      </x:c>
      <x:c r="I204" s="9" t="n">
        <x:f>CHOOSE($D$4,I205,I206,I207)</x:f>
        <x:v>35</x:v>
      </x:c>
      <x:c r="J204" s="9" t="n">
        <x:f>CHOOSE($D$4,J205,J206,J207)</x:f>
        <x:v>35</x:v>
      </x:c>
      <x:c r="K204" s="9" t="n">
        <x:f>CHOOSE($D$4,K205,K206,K207)</x:f>
        <x:v>35</x:v>
      </x:c>
      <x:c r="L204" s="9" t="n">
        <x:f>CHOOSE($D$4,L205,L206,L207)</x:f>
        <x:v>35</x:v>
      </x:c>
      <x:c r="M204" s="9" t="n">
        <x:f>CHOOSE($D$4,M205,M206,M207)</x:f>
        <x:v>35</x:v>
      </x:c>
      <x:c r="N204" s="9" t="n">
        <x:f>CHOOSE($D$4,N205,N206,N207)</x:f>
        <x:v>35</x:v>
      </x:c>
      <x:c r="O204" s="9" t="n">
        <x:f>CHOOSE($D$4,O205,O206,O207)</x:f>
        <x:v>35</x:v>
      </x:c>
      <x:c r="P204" s="9" t="n">
        <x:f>CHOOSE($D$4,P205,P206,P207)</x:f>
        <x:v>35</x:v>
      </x:c>
      <x:c r="Q204" s="9" t="n">
        <x:f>CHOOSE($D$4,Q205,Q206,Q207)</x:f>
        <x:v>35</x:v>
      </x:c>
      <x:c r="R204" s="9" t="n">
        <x:f>CHOOSE($D$4,R205,R206,R207)</x:f>
        <x:v>35</x:v>
      </x:c>
      <x:c r="S204" s="9" t="n">
        <x:f>CHOOSE($D$4,S205,S206,S207)</x:f>
        <x:v>35</x:v>
      </x:c>
    </x:row>
    <x:row r="205">
      <x:c r="B205" s="3"/>
      <x:c r="C205" s="3" t="str">
        <x:v>Base</x:v>
      </x:c>
      <x:c r="D205" s="3"/>
      <x:c r="E205" s="3"/>
      <x:c r="F205" s="3"/>
      <x:c r="G205" s="3"/>
      <x:c r="H205" s="3" t="n">
        <x:v>35</x:v>
      </x:c>
      <x:c r="I205" s="3" t="n">
        <x:v>35</x:v>
      </x:c>
      <x:c r="J205" s="3" t="n">
        <x:v>35</x:v>
      </x:c>
      <x:c r="K205" s="3" t="n">
        <x:v>35</x:v>
      </x:c>
      <x:c r="L205" s="3" t="n">
        <x:v>35</x:v>
      </x:c>
      <x:c r="M205" s="3" t="n">
        <x:v>35</x:v>
      </x:c>
      <x:c r="N205" s="3" t="n">
        <x:v>35</x:v>
      </x:c>
      <x:c r="O205" s="3" t="n">
        <x:v>35</x:v>
      </x:c>
      <x:c r="P205" s="3" t="n">
        <x:v>35</x:v>
      </x:c>
      <x:c r="Q205" s="3" t="n">
        <x:v>35</x:v>
      </x:c>
      <x:c r="R205" s="3" t="n">
        <x:v>35</x:v>
      </x:c>
      <x:c r="S205" s="3" t="n">
        <x:v>35</x:v>
      </x:c>
    </x:row>
    <x:row r="206">
      <x:c r="B206" s="3"/>
      <x:c r="C206" s="3" t="str">
        <x:v>Upside</x:v>
      </x:c>
      <x:c r="D206" s="3"/>
      <x:c r="E206" s="3"/>
      <x:c r="F206" s="3"/>
      <x:c r="G206" s="3"/>
      <x:c r="H206" s="3" t="n">
        <x:v>40</x:v>
      </x:c>
      <x:c r="I206" s="3" t="n">
        <x:v>40</x:v>
      </x:c>
      <x:c r="J206" s="3" t="n">
        <x:v>40</x:v>
      </x:c>
      <x:c r="K206" s="3" t="n">
        <x:v>40</x:v>
      </x:c>
      <x:c r="L206" s="3" t="n">
        <x:v>40</x:v>
      </x:c>
      <x:c r="M206" s="3" t="n">
        <x:v>40</x:v>
      </x:c>
      <x:c r="N206" s="3" t="n">
        <x:v>40</x:v>
      </x:c>
      <x:c r="O206" s="3" t="n">
        <x:v>40</x:v>
      </x:c>
      <x:c r="P206" s="3" t="n">
        <x:v>40</x:v>
      </x:c>
      <x:c r="Q206" s="3" t="n">
        <x:v>40</x:v>
      </x:c>
      <x:c r="R206" s="3" t="n">
        <x:v>40</x:v>
      </x:c>
      <x:c r="S206" s="3" t="n">
        <x:v>40</x:v>
      </x:c>
    </x:row>
    <x:row r="207">
      <x:c r="B207" s="3"/>
      <x:c r="C207" s="3" t="str">
        <x:v>Downside</x:v>
      </x:c>
      <x:c r="D207" s="3"/>
      <x:c r="E207" s="3"/>
      <x:c r="F207" s="3"/>
      <x:c r="G207" s="3"/>
      <x:c r="H207" s="3" t="n">
        <x:v>27</x:v>
      </x:c>
      <x:c r="I207" s="3" t="n">
        <x:v>27</x:v>
      </x:c>
      <x:c r="J207" s="3" t="n">
        <x:v>27</x:v>
      </x:c>
      <x:c r="K207" s="3" t="n">
        <x:v>27</x:v>
      </x:c>
      <x:c r="L207" s="3" t="n">
        <x:v>27</x:v>
      </x:c>
      <x:c r="M207" s="3" t="n">
        <x:v>27</x:v>
      </x:c>
      <x:c r="N207" s="3" t="n">
        <x:v>27</x:v>
      </x:c>
      <x:c r="O207" s="3" t="n">
        <x:v>27</x:v>
      </x:c>
      <x:c r="P207" s="3" t="n">
        <x:v>27</x:v>
      </x:c>
      <x:c r="Q207" s="3" t="n">
        <x:v>27</x:v>
      </x:c>
      <x:c r="R207" s="3" t="n">
        <x:v>27</x:v>
      </x:c>
      <x:c r="S207" s="3" t="n">
        <x:v>27</x:v>
      </x:c>
    </x:row>
    <x:row r="208">
      <x:c r="B208" s="9" t="str">
        <x:v>sbc adjustment m</x:v>
      </x:c>
      <x:c r="C208" s="9" t="str">
        <x:v>ACTIVE</x:v>
      </x:c>
      <x:c r="D208" s="9" t="str">
        <x:v>USD millions</x:v>
      </x:c>
      <x:c r="E208" s="9" t="str">
        <x:v>2025Q4 $76m; 2026Q1 $73m; Q2 $105m including unusual costs</x:v>
      </x:c>
      <x:c r="F208" s="9"/>
      <x:c r="G208" s="9"/>
      <x:c r="H208" s="9" t="n">
        <x:f>CHOOSE($D$4,H209,H210,H211)</x:f>
        <x:v>80</x:v>
      </x:c>
      <x:c r="I208" s="9" t="n">
        <x:f>CHOOSE($D$4,I209,I210,I211)</x:f>
        <x:v>81</x:v>
      </x:c>
      <x:c r="J208" s="9" t="n">
        <x:f>CHOOSE($D$4,J209,J210,J211)</x:f>
        <x:v>82</x:v>
      </x:c>
      <x:c r="K208" s="9" t="n">
        <x:f>CHOOSE($D$4,K209,K210,K211)</x:f>
        <x:v>83</x:v>
      </x:c>
      <x:c r="L208" s="9" t="n">
        <x:f>CHOOSE($D$4,L209,L210,L211)</x:f>
        <x:v>84</x:v>
      </x:c>
      <x:c r="M208" s="9" t="n">
        <x:f>CHOOSE($D$4,M209,M210,M211)</x:f>
        <x:v>85</x:v>
      </x:c>
      <x:c r="N208" s="9" t="n">
        <x:f>CHOOSE($D$4,N209,N210,N211)</x:f>
        <x:v>86</x:v>
      </x:c>
      <x:c r="O208" s="9" t="n">
        <x:f>CHOOSE($D$4,O209,O210,O211)</x:f>
        <x:v>87</x:v>
      </x:c>
      <x:c r="P208" s="9" t="n">
        <x:f>CHOOSE($D$4,P209,P210,P211)</x:f>
        <x:v>88</x:v>
      </x:c>
      <x:c r="Q208" s="9" t="n">
        <x:f>CHOOSE($D$4,Q209,Q210,Q211)</x:f>
        <x:v>89</x:v>
      </x:c>
      <x:c r="R208" s="9" t="n">
        <x:f>CHOOSE($D$4,R209,R210,R211)</x:f>
        <x:v>90</x:v>
      </x:c>
      <x:c r="S208" s="9" t="n">
        <x:f>CHOOSE($D$4,S209,S210,S211)</x:f>
        <x:v>91</x:v>
      </x:c>
    </x:row>
    <x:row r="209">
      <x:c r="B209" s="3"/>
      <x:c r="C209" s="3" t="str">
        <x:v>Base</x:v>
      </x:c>
      <x:c r="D209" s="3"/>
      <x:c r="E209" s="3"/>
      <x:c r="F209" s="3"/>
      <x:c r="G209" s="3"/>
      <x:c r="H209" s="3" t="n">
        <x:v>80</x:v>
      </x:c>
      <x:c r="I209" s="3" t="n">
        <x:v>81</x:v>
      </x:c>
      <x:c r="J209" s="3" t="n">
        <x:v>82</x:v>
      </x:c>
      <x:c r="K209" s="3" t="n">
        <x:v>83</x:v>
      </x:c>
      <x:c r="L209" s="3" t="n">
        <x:v>84</x:v>
      </x:c>
      <x:c r="M209" s="3" t="n">
        <x:v>85</x:v>
      </x:c>
      <x:c r="N209" s="3" t="n">
        <x:v>86</x:v>
      </x:c>
      <x:c r="O209" s="3" t="n">
        <x:v>87</x:v>
      </x:c>
      <x:c r="P209" s="3" t="n">
        <x:v>88</x:v>
      </x:c>
      <x:c r="Q209" s="3" t="n">
        <x:v>89</x:v>
      </x:c>
      <x:c r="R209" s="3" t="n">
        <x:v>90</x:v>
      </x:c>
      <x:c r="S209" s="3" t="n">
        <x:v>91</x:v>
      </x:c>
    </x:row>
    <x:row r="210">
      <x:c r="B210" s="3"/>
      <x:c r="C210" s="3" t="str">
        <x:v>Upside</x:v>
      </x:c>
      <x:c r="D210" s="3"/>
      <x:c r="E210" s="3"/>
      <x:c r="F210" s="3"/>
      <x:c r="G210" s="3"/>
      <x:c r="H210" s="3" t="n">
        <x:v>80</x:v>
      </x:c>
      <x:c r="I210" s="3" t="n">
        <x:v>82</x:v>
      </x:c>
      <x:c r="J210" s="3" t="n">
        <x:v>84</x:v>
      </x:c>
      <x:c r="K210" s="3" t="n">
        <x:v>86</x:v>
      </x:c>
      <x:c r="L210" s="3" t="n">
        <x:v>88</x:v>
      </x:c>
      <x:c r="M210" s="3" t="n">
        <x:v>90</x:v>
      </x:c>
      <x:c r="N210" s="3" t="n">
        <x:v>92</x:v>
      </x:c>
      <x:c r="O210" s="3" t="n">
        <x:v>94</x:v>
      </x:c>
      <x:c r="P210" s="3" t="n">
        <x:v>96</x:v>
      </x:c>
      <x:c r="Q210" s="3" t="n">
        <x:v>98</x:v>
      </x:c>
      <x:c r="R210" s="3" t="n">
        <x:v>100</x:v>
      </x:c>
      <x:c r="S210" s="3" t="n">
        <x:v>102</x:v>
      </x:c>
    </x:row>
    <x:row r="211">
      <x:c r="B211" s="3"/>
      <x:c r="C211" s="3" t="str">
        <x:v>Downside</x:v>
      </x:c>
      <x:c r="D211" s="3"/>
      <x:c r="E211" s="3"/>
      <x:c r="F211" s="3"/>
      <x:c r="G211" s="3"/>
      <x:c r="H211" s="3" t="n">
        <x:v>80</x:v>
      </x:c>
      <x:c r="I211" s="3" t="n">
        <x:v>81</x:v>
      </x:c>
      <x:c r="J211" s="3" t="n">
        <x:v>82</x:v>
      </x:c>
      <x:c r="K211" s="3" t="n">
        <x:v>83</x:v>
      </x:c>
      <x:c r="L211" s="3" t="n">
        <x:v>84</x:v>
      </x:c>
      <x:c r="M211" s="3" t="n">
        <x:v>85</x:v>
      </x:c>
      <x:c r="N211" s="3" t="n">
        <x:v>86</x:v>
      </x:c>
      <x:c r="O211" s="3" t="n">
        <x:v>87</x:v>
      </x:c>
      <x:c r="P211" s="3" t="n">
        <x:v>88</x:v>
      </x:c>
      <x:c r="Q211" s="3" t="n">
        <x:v>89</x:v>
      </x:c>
      <x:c r="R211" s="3" t="n">
        <x:v>90</x:v>
      </x:c>
      <x:c r="S211" s="3" t="n">
        <x:v>91</x:v>
      </x:c>
    </x:row>
    <x:row r="212">
      <x:c r="B212" s="9" t="str">
        <x:v>sept asset value change pct</x:v>
      </x:c>
      <x:c r="C212" s="9" t="str">
        <x:v>ACTIVE</x:v>
      </x:c>
      <x:c r="D212" s="9" t="str">
        <x:v>fraction</x:v>
      </x:c>
      <x:c r="E212" s="9" t="str">
        <x:v>Q2 2026 company disclosures and Phase 3 history</x:v>
      </x:c>
      <x:c r="F212" s="9"/>
      <x:c r="G212" s="9"/>
      <x:c r="H212" s="9" t="n">
        <x:f>CHOOSE($D$4,H213,H214,H215)</x:f>
        <x:v>0</x:v>
      </x:c>
      <x:c r="I212" s="9"/>
      <x:c r="J212" s="9"/>
      <x:c r="K212" s="9"/>
      <x:c r="L212" s="9"/>
      <x:c r="M212" s="9"/>
      <x:c r="N212" s="9"/>
      <x:c r="O212" s="9"/>
      <x:c r="P212" s="9"/>
      <x:c r="Q212" s="9"/>
      <x:c r="R212" s="9"/>
      <x:c r="S212" s="9"/>
    </x:row>
    <x:row r="213">
      <x:c r="B213" s="3"/>
      <x:c r="C213" s="3" t="str">
        <x:v>Base</x:v>
      </x:c>
      <x:c r="D213" s="3"/>
      <x:c r="E213" s="3"/>
      <x:c r="F213" s="3"/>
      <x:c r="G213" s="3"/>
      <x:c r="H213" s="3" t="n">
        <x:v>0</x:v>
      </x:c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</x:row>
    <x:row r="214">
      <x:c r="B214" s="3"/>
      <x:c r="C214" s="3" t="str">
        <x:v>Upside</x:v>
      </x:c>
      <x:c r="D214" s="3"/>
      <x:c r="E214" s="3"/>
      <x:c r="F214" s="3"/>
      <x:c r="G214" s="3"/>
      <x:c r="H214" s="3" t="n">
        <x:v>0.01</x:v>
      </x:c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</x:row>
    <x:row r="215">
      <x:c r="B215" s="3"/>
      <x:c r="C215" s="3" t="str">
        <x:v>Downside</x:v>
      </x:c>
      <x:c r="D215" s="3"/>
      <x:c r="E215" s="3"/>
      <x:c r="F215" s="3"/>
      <x:c r="G215" s="3"/>
      <x:c r="H215" s="3" t="n">
        <x:v>-0.01</x:v>
      </x:c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</x:row>
    <x:row r="216">
      <x:c r="B216" s="9" t="str">
        <x:v>sept crypto app notional b</x:v>
      </x:c>
      <x:c r="C216" s="9" t="str">
        <x:v>ACTIVE</x:v>
      </x:c>
      <x:c r="D216" s="9" t="str">
        <x:v>billions</x:v>
      </x:c>
      <x:c r="E216" s="9" t="str">
        <x:v>July 4.3; August 7.4</x:v>
      </x:c>
      <x:c r="F216" s="9"/>
      <x:c r="G216" s="9"/>
      <x:c r="H216" s="9" t="n">
        <x:f>CHOOSE($D$4,H217,H218,H219)</x:f>
        <x:v>5.85</x:v>
      </x:c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9"/>
    </x:row>
    <x:row r="217">
      <x:c r="B217" s="3"/>
      <x:c r="C217" s="3" t="str">
        <x:v>Base</x:v>
      </x:c>
      <x:c r="D217" s="3"/>
      <x:c r="E217" s="3"/>
      <x:c r="F217" s="3"/>
      <x:c r="G217" s="3"/>
      <x:c r="H217" s="3" t="n">
        <x:v>5.85</x:v>
      </x:c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</x:row>
    <x:row r="218">
      <x:c r="B218" s="3"/>
      <x:c r="C218" s="3" t="str">
        <x:v>Upside</x:v>
      </x:c>
      <x:c r="D218" s="3"/>
      <x:c r="E218" s="3"/>
      <x:c r="F218" s="3"/>
      <x:c r="G218" s="3"/>
      <x:c r="H218" s="3" t="n">
        <x:v>6.4350000000000005</x:v>
      </x:c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</x:row>
    <x:row r="219">
      <x:c r="B219" s="3"/>
      <x:c r="C219" s="3" t="str">
        <x:v>Downside</x:v>
      </x:c>
      <x:c r="D219" s="3"/>
      <x:c r="E219" s="3"/>
      <x:c r="F219" s="3"/>
      <x:c r="G219" s="3"/>
      <x:c r="H219" s="3" t="n">
        <x:v>5.265</x:v>
      </x:c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</x:row>
    <x:row r="220">
      <x:c r="B220" s="9" t="str">
        <x:v>sept crypto bitstamp notional b</x:v>
      </x:c>
      <x:c r="C220" s="9" t="str">
        <x:v>ACTIVE</x:v>
      </x:c>
      <x:c r="D220" s="9" t="str">
        <x:v>billions</x:v>
      </x:c>
      <x:c r="E220" s="9" t="str">
        <x:v>July 6.6; August 10.1</x:v>
      </x:c>
      <x:c r="F220" s="9"/>
      <x:c r="G220" s="9"/>
      <x:c r="H220" s="9" t="n">
        <x:f>CHOOSE($D$4,H221,H222,H223)</x:f>
        <x:v>8.35</x:v>
      </x:c>
      <x:c r="I220" s="9"/>
      <x:c r="J220" s="9"/>
      <x:c r="K220" s="9"/>
      <x:c r="L220" s="9"/>
      <x:c r="M220" s="9"/>
      <x:c r="N220" s="9"/>
      <x:c r="O220" s="9"/>
      <x:c r="P220" s="9"/>
      <x:c r="Q220" s="9"/>
      <x:c r="R220" s="9"/>
      <x:c r="S220" s="9"/>
    </x:row>
    <x:row r="221">
      <x:c r="B221" s="3"/>
      <x:c r="C221" s="3" t="str">
        <x:v>Base</x:v>
      </x:c>
      <x:c r="D221" s="3"/>
      <x:c r="E221" s="3"/>
      <x:c r="F221" s="3"/>
      <x:c r="G221" s="3"/>
      <x:c r="H221" s="3" t="n">
        <x:v>8.35</x:v>
      </x:c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</x:row>
    <x:row r="222">
      <x:c r="B222" s="3"/>
      <x:c r="C222" s="3" t="str">
        <x:v>Upside</x:v>
      </x:c>
      <x:c r="D222" s="3"/>
      <x:c r="E222" s="3"/>
      <x:c r="F222" s="3"/>
      <x:c r="G222" s="3"/>
      <x:c r="H222" s="3" t="n">
        <x:v>9.185</x:v>
      </x:c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</x:row>
    <x:row r="223">
      <x:c r="B223" s="3"/>
      <x:c r="C223" s="3" t="str">
        <x:v>Downside</x:v>
      </x:c>
      <x:c r="D223" s="3"/>
      <x:c r="E223" s="3"/>
      <x:c r="F223" s="3"/>
      <x:c r="G223" s="3"/>
      <x:c r="H223" s="3" t="n">
        <x:v>7.515</x:v>
      </x:c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</x:row>
    <x:row r="224">
      <x:c r="B224" s="9" t="str">
        <x:v>sept equity notional b</x:v>
      </x:c>
      <x:c r="C224" s="9" t="str">
        <x:v>ACTIVE</x:v>
      </x:c>
      <x:c r="D224" s="9" t="str">
        <x:v>billions</x:v>
      </x:c>
      <x:c r="E224" s="9" t="str">
        <x:v>July 332.8; August 335.4</x:v>
      </x:c>
      <x:c r="F224" s="9"/>
      <x:c r="G224" s="9"/>
      <x:c r="H224" s="9" t="n">
        <x:f>CHOOSE($D$4,H225,H226,H227)</x:f>
        <x:v>334.1</x:v>
      </x:c>
      <x:c r="I224" s="9"/>
      <x:c r="J224" s="9"/>
      <x:c r="K224" s="9"/>
      <x:c r="L224" s="9"/>
      <x:c r="M224" s="9"/>
      <x:c r="N224" s="9"/>
      <x:c r="O224" s="9"/>
      <x:c r="P224" s="9"/>
      <x:c r="Q224" s="9"/>
      <x:c r="R224" s="9"/>
      <x:c r="S224" s="9"/>
    </x:row>
    <x:row r="225">
      <x:c r="B225" s="3"/>
      <x:c r="C225" s="3" t="str">
        <x:v>Base</x:v>
      </x:c>
      <x:c r="D225" s="3"/>
      <x:c r="E225" s="3"/>
      <x:c r="F225" s="3"/>
      <x:c r="G225" s="3"/>
      <x:c r="H225" s="3" t="n">
        <x:v>334.1</x:v>
      </x:c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</x:row>
    <x:row r="226">
      <x:c r="B226" s="3"/>
      <x:c r="C226" s="3" t="str">
        <x:v>Upside</x:v>
      </x:c>
      <x:c r="D226" s="3"/>
      <x:c r="E226" s="3"/>
      <x:c r="F226" s="3"/>
      <x:c r="G226" s="3"/>
      <x:c r="H226" s="3" t="n">
        <x:v>367.51000000000005</x:v>
      </x:c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</x:row>
    <x:row r="227">
      <x:c r="B227" s="3"/>
      <x:c r="C227" s="3" t="str">
        <x:v>Downside</x:v>
      </x:c>
      <x:c r="D227" s="3"/>
      <x:c r="E227" s="3"/>
      <x:c r="F227" s="3"/>
      <x:c r="G227" s="3"/>
      <x:c r="H227" s="3" t="n">
        <x:v>300.69000000000005</x:v>
      </x:c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</x:row>
    <x:row r="228">
      <x:c r="B228" s="9" t="str">
        <x:v>sept event contracts b</x:v>
      </x:c>
      <x:c r="C228" s="9" t="str">
        <x:v>ACTIVE</x:v>
      </x:c>
      <x:c r="D228" s="9" t="str">
        <x:v>billions</x:v>
      </x:c>
      <x:c r="E228" s="9" t="str">
        <x:v>July 6.1; August 4.7</x:v>
      </x:c>
      <x:c r="F228" s="9"/>
      <x:c r="G228" s="9"/>
      <x:c r="H228" s="9" t="n">
        <x:f>CHOOSE($D$4,H229,H230,H231)</x:f>
        <x:v>5.4</x:v>
      </x:c>
      <x:c r="I228" s="9"/>
      <x:c r="J228" s="9"/>
      <x:c r="K228" s="9"/>
      <x:c r="L228" s="9"/>
      <x:c r="M228" s="9"/>
      <x:c r="N228" s="9"/>
      <x:c r="O228" s="9"/>
      <x:c r="P228" s="9"/>
      <x:c r="Q228" s="9"/>
      <x:c r="R228" s="9"/>
      <x:c r="S228" s="9"/>
    </x:row>
    <x:row r="229">
      <x:c r="B229" s="3"/>
      <x:c r="C229" s="3" t="str">
        <x:v>Base</x:v>
      </x:c>
      <x:c r="D229" s="3"/>
      <x:c r="E229" s="3"/>
      <x:c r="F229" s="3"/>
      <x:c r="G229" s="3"/>
      <x:c r="H229" s="3" t="n">
        <x:v>5.4</x:v>
      </x:c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</x:row>
    <x:row r="230">
      <x:c r="B230" s="3"/>
      <x:c r="C230" s="3" t="str">
        <x:v>Upside</x:v>
      </x:c>
      <x:c r="D230" s="3"/>
      <x:c r="E230" s="3"/>
      <x:c r="F230" s="3"/>
      <x:c r="G230" s="3"/>
      <x:c r="H230" s="3" t="n">
        <x:v>5.940000000000001</x:v>
      </x:c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</x:row>
    <x:row r="231">
      <x:c r="B231" s="3"/>
      <x:c r="C231" s="3" t="str">
        <x:v>Downside</x:v>
      </x:c>
      <x:c r="D231" s="3"/>
      <x:c r="E231" s="3"/>
      <x:c r="F231" s="3"/>
      <x:c r="G231" s="3"/>
      <x:c r="H231" s="3" t="n">
        <x:v>4.86</x:v>
      </x:c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</x:row>
    <x:row r="232">
      <x:c r="B232" s="9" t="str">
        <x:v>sept margin balance b</x:v>
      </x:c>
      <x:c r="C232" s="9" t="str">
        <x:v>ACTIVE</x:v>
      </x:c>
      <x:c r="D232" s="9" t="str">
        <x:v>USD billions</x:v>
      </x:c>
      <x:c r="E232" s="9" t="str">
        <x:v>August reported $21.5b</x:v>
      </x:c>
      <x:c r="F232" s="9"/>
      <x:c r="G232" s="9"/>
      <x:c r="H232" s="9" t="n">
        <x:f>CHOOSE($D$4,H233,H234,H235)</x:f>
        <x:v>21.5</x:v>
      </x:c>
      <x:c r="I232" s="9"/>
      <x:c r="J232" s="9"/>
      <x:c r="K232" s="9"/>
      <x:c r="L232" s="9"/>
      <x:c r="M232" s="9"/>
      <x:c r="N232" s="9"/>
      <x:c r="O232" s="9"/>
      <x:c r="P232" s="9"/>
      <x:c r="Q232" s="9"/>
      <x:c r="R232" s="9"/>
      <x:c r="S232" s="9"/>
    </x:row>
    <x:row r="233">
      <x:c r="B233" s="3"/>
      <x:c r="C233" s="3" t="str">
        <x:v>Base</x:v>
      </x:c>
      <x:c r="D233" s="3"/>
      <x:c r="E233" s="3"/>
      <x:c r="F233" s="3"/>
      <x:c r="G233" s="3"/>
      <x:c r="H233" s="3" t="n">
        <x:v>21.5</x:v>
      </x:c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</x:row>
    <x:row r="234">
      <x:c r="B234" s="3"/>
      <x:c r="C234" s="3" t="str">
        <x:v>Upside</x:v>
      </x:c>
      <x:c r="D234" s="3"/>
      <x:c r="E234" s="3"/>
      <x:c r="F234" s="3"/>
      <x:c r="G234" s="3"/>
      <x:c r="H234" s="3" t="n">
        <x:v>21.9</x:v>
      </x:c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</x:row>
    <x:row r="235">
      <x:c r="B235" s="3"/>
      <x:c r="C235" s="3" t="str">
        <x:v>Downside</x:v>
      </x:c>
      <x:c r="D235" s="3"/>
      <x:c r="E235" s="3"/>
      <x:c r="F235" s="3"/>
      <x:c r="G235" s="3"/>
      <x:c r="H235" s="3" t="n">
        <x:v>21.1</x:v>
      </x:c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</x:row>
    <x:row r="236">
      <x:c r="B236" s="9" t="str">
        <x:v>sept net customer additions m</x:v>
      </x:c>
      <x:c r="C236" s="9" t="str">
        <x:v>ACTIVE</x:v>
      </x:c>
      <x:c r="D236" s="9" t="str">
        <x:v>millions</x:v>
      </x:c>
      <x:c r="E236" s="9" t="str">
        <x:v>July/August each added approximately 0.1m; rounded reports</x:v>
      </x:c>
      <x:c r="F236" s="9"/>
      <x:c r="G236" s="9"/>
      <x:c r="H236" s="9" t="n">
        <x:f>CHOOSE($D$4,H237,H238,H239)</x:f>
        <x:v>0.09999999999999998</x:v>
      </x:c>
      <x:c r="I236" s="9"/>
      <x:c r="J236" s="9"/>
      <x:c r="K236" s="9"/>
      <x:c r="L236" s="9"/>
      <x:c r="M236" s="9"/>
      <x:c r="N236" s="9"/>
      <x:c r="O236" s="9"/>
      <x:c r="P236" s="9"/>
      <x:c r="Q236" s="9"/>
      <x:c r="R236" s="9"/>
      <x:c r="S236" s="9"/>
    </x:row>
    <x:row r="237">
      <x:c r="B237" s="3"/>
      <x:c r="C237" s="3" t="str">
        <x:v>Base</x:v>
      </x:c>
      <x:c r="D237" s="3"/>
      <x:c r="E237" s="3"/>
      <x:c r="F237" s="3"/>
      <x:c r="G237" s="3"/>
      <x:c r="H237" s="3" t="n">
        <x:v>0.09999999999999998</x:v>
      </x:c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</x:row>
    <x:row r="238">
      <x:c r="B238" s="3"/>
      <x:c r="C238" s="3" t="str">
        <x:v>Upside</x:v>
      </x:c>
      <x:c r="D238" s="3"/>
      <x:c r="E238" s="3"/>
      <x:c r="F238" s="3"/>
      <x:c r="G238" s="3"/>
      <x:c r="H238" s="3" t="n">
        <x:v>0.25</x:v>
      </x:c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</x:row>
    <x:row r="239">
      <x:c r="B239" s="3"/>
      <x:c r="C239" s="3" t="str">
        <x:v>Downside</x:v>
      </x:c>
      <x:c r="D239" s="3"/>
      <x:c r="E239" s="3"/>
      <x:c r="F239" s="3"/>
      <x:c r="G239" s="3"/>
      <x:c r="H239" s="3" t="n">
        <x:v>0</x:v>
      </x:c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</x:row>
    <x:row r="240">
      <x:c r="B240" s="9" t="str">
        <x:v>sept net deposits b</x:v>
      </x:c>
      <x:c r="C240" s="9" t="str">
        <x:v>ACTIVE</x:v>
      </x:c>
      <x:c r="D240" s="9" t="str">
        <x:v>USD billions</x:v>
      </x:c>
      <x:c r="E240" s="9" t="str">
        <x:v>July $5.6b, August $4.0b</x:v>
      </x:c>
      <x:c r="F240" s="9"/>
      <x:c r="G240" s="9"/>
      <x:c r="H240" s="9" t="n">
        <x:f>CHOOSE($D$4,H241,H242,H243)</x:f>
        <x:v>4.8</x:v>
      </x:c>
      <x:c r="I240" s="9"/>
      <x:c r="J240" s="9"/>
      <x:c r="K240" s="9"/>
      <x:c r="L240" s="9"/>
      <x:c r="M240" s="9"/>
      <x:c r="N240" s="9"/>
      <x:c r="O240" s="9"/>
      <x:c r="P240" s="9"/>
      <x:c r="Q240" s="9"/>
      <x:c r="R240" s="9"/>
      <x:c r="S240" s="9"/>
    </x:row>
    <x:row r="241">
      <x:c r="B241" s="3"/>
      <x:c r="C241" s="3" t="str">
        <x:v>Base</x:v>
      </x:c>
      <x:c r="D241" s="3"/>
      <x:c r="E241" s="3"/>
      <x:c r="F241" s="3"/>
      <x:c r="G241" s="3"/>
      <x:c r="H241" s="3" t="n">
        <x:v>4.8</x:v>
      </x:c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</x:row>
    <x:row r="242">
      <x:c r="B242" s="3"/>
      <x:c r="C242" s="3" t="str">
        <x:v>Upside</x:v>
      </x:c>
      <x:c r="D242" s="3"/>
      <x:c r="E242" s="3"/>
      <x:c r="F242" s="3"/>
      <x:c r="G242" s="3"/>
      <x:c r="H242" s="3" t="n">
        <x:v>5.6</x:v>
      </x:c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</x:row>
    <x:row r="243">
      <x:c r="B243" s="3"/>
      <x:c r="C243" s="3" t="str">
        <x:v>Downside</x:v>
      </x:c>
      <x:c r="D243" s="3"/>
      <x:c r="E243" s="3"/>
      <x:c r="F243" s="3"/>
      <x:c r="G243" s="3"/>
      <x:c r="H243" s="3" t="n">
        <x:v>4</x:v>
      </x:c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</x:row>
    <x:row r="244">
      <x:c r="B244" s="9" t="str">
        <x:v>sept options contracts m</x:v>
      </x:c>
      <x:c r="C244" s="9" t="str">
        <x:v>ACTIVE</x:v>
      </x:c>
      <x:c r="D244" s="9" t="str">
        <x:v>millions</x:v>
      </x:c>
      <x:c r="E244" s="9" t="str">
        <x:v>July 324.2; August 292.5</x:v>
      </x:c>
      <x:c r="F244" s="9"/>
      <x:c r="G244" s="9"/>
      <x:c r="H244" s="9" t="n">
        <x:f>CHOOSE($D$4,H245,H246,H247)</x:f>
        <x:v>308.35</x:v>
      </x:c>
      <x:c r="I244" s="9"/>
      <x:c r="J244" s="9"/>
      <x:c r="K244" s="9"/>
      <x:c r="L244" s="9"/>
      <x:c r="M244" s="9"/>
      <x:c r="N244" s="9"/>
      <x:c r="O244" s="9"/>
      <x:c r="P244" s="9"/>
      <x:c r="Q244" s="9"/>
      <x:c r="R244" s="9"/>
      <x:c r="S244" s="9"/>
    </x:row>
    <x:row r="245">
      <x:c r="B245" s="3"/>
      <x:c r="C245" s="3" t="str">
        <x:v>Base</x:v>
      </x:c>
      <x:c r="D245" s="3"/>
      <x:c r="E245" s="3"/>
      <x:c r="F245" s="3"/>
      <x:c r="G245" s="3"/>
      <x:c r="H245" s="3" t="n">
        <x:v>308.35</x:v>
      </x:c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</x:row>
    <x:row r="246">
      <x:c r="B246" s="3"/>
      <x:c r="C246" s="3" t="str">
        <x:v>Upside</x:v>
      </x:c>
      <x:c r="D246" s="3"/>
      <x:c r="E246" s="3"/>
      <x:c r="F246" s="3"/>
      <x:c r="G246" s="3"/>
      <x:c r="H246" s="3" t="n">
        <x:v>339.18500000000006</x:v>
      </x:c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</x:row>
    <x:row r="247">
      <x:c r="B247" s="3"/>
      <x:c r="C247" s="3" t="str">
        <x:v>Downside</x:v>
      </x:c>
      <x:c r="D247" s="3"/>
      <x:c r="E247" s="3"/>
      <x:c r="F247" s="3"/>
      <x:c r="G247" s="3"/>
      <x:c r="H247" s="3" t="n">
        <x:v>277.51500000000004</x:v>
      </x:c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</x:row>
    <x:row r="248">
      <x:c r="B248" s="9" t="str">
        <x:v>technology base m</x:v>
      </x:c>
      <x:c r="C248" s="9" t="str">
        <x:v>ACTIVE</x:v>
      </x:c>
      <x:c r="D248" s="9" t="str">
        <x:v>USD millions</x:v>
      </x:c>
      <x:c r="E248" s="9" t="str">
        <x:v>Q2 $256m; +$25m H2 investment allowance informed by 2026 adjusted expense outlook</x:v>
      </x:c>
      <x:c r="F248" s="9"/>
      <x:c r="G248" s="9"/>
      <x:c r="H248" s="9" t="n">
        <x:f>CHOOSE($D$4,H249,H250,H251)</x:f>
        <x:v>281</x:v>
      </x:c>
      <x:c r="I248" s="9" t="n">
        <x:f>CHOOSE($D$4,I249,I250,I251)</x:f>
        <x:v>281</x:v>
      </x:c>
      <x:c r="J248" s="9" t="n">
        <x:f>CHOOSE($D$4,J249,J250,J251)</x:f>
        <x:v>284</x:v>
      </x:c>
      <x:c r="K248" s="9" t="n">
        <x:f>CHOOSE($D$4,K249,K250,K251)</x:f>
        <x:v>287</x:v>
      </x:c>
      <x:c r="L248" s="9" t="n">
        <x:f>CHOOSE($D$4,L249,L250,L251)</x:f>
        <x:v>290</x:v>
      </x:c>
      <x:c r="M248" s="9" t="n">
        <x:f>CHOOSE($D$4,M249,M250,M251)</x:f>
        <x:v>293</x:v>
      </x:c>
      <x:c r="N248" s="9" t="n">
        <x:f>CHOOSE($D$4,N249,N250,N251)</x:f>
        <x:v>296</x:v>
      </x:c>
      <x:c r="O248" s="9" t="n">
        <x:f>CHOOSE($D$4,O249,O250,O251)</x:f>
        <x:v>299</x:v>
      </x:c>
      <x:c r="P248" s="9" t="n">
        <x:f>CHOOSE($D$4,P249,P250,P251)</x:f>
        <x:v>302</x:v>
      </x:c>
      <x:c r="Q248" s="9" t="n">
        <x:f>CHOOSE($D$4,Q249,Q250,Q251)</x:f>
        <x:v>305</x:v>
      </x:c>
      <x:c r="R248" s="9" t="n">
        <x:f>CHOOSE($D$4,R249,R250,R251)</x:f>
        <x:v>308</x:v>
      </x:c>
      <x:c r="S248" s="9" t="n">
        <x:f>CHOOSE($D$4,S249,S250,S251)</x:f>
        <x:v>311</x:v>
      </x:c>
    </x:row>
    <x:row r="249">
      <x:c r="B249" s="3"/>
      <x:c r="C249" s="3" t="str">
        <x:v>Base</x:v>
      </x:c>
      <x:c r="D249" s="3"/>
      <x:c r="E249" s="3"/>
      <x:c r="F249" s="3"/>
      <x:c r="G249" s="3"/>
      <x:c r="H249" s="3" t="n">
        <x:v>281</x:v>
      </x:c>
      <x:c r="I249" s="3" t="n">
        <x:v>281</x:v>
      </x:c>
      <x:c r="J249" s="3" t="n">
        <x:v>284</x:v>
      </x:c>
      <x:c r="K249" s="3" t="n">
        <x:v>287</x:v>
      </x:c>
      <x:c r="L249" s="3" t="n">
        <x:v>290</x:v>
      </x:c>
      <x:c r="M249" s="3" t="n">
        <x:v>293</x:v>
      </x:c>
      <x:c r="N249" s="3" t="n">
        <x:v>296</x:v>
      </x:c>
      <x:c r="O249" s="3" t="n">
        <x:v>299</x:v>
      </x:c>
      <x:c r="P249" s="3" t="n">
        <x:v>302</x:v>
      </x:c>
      <x:c r="Q249" s="3" t="n">
        <x:v>305</x:v>
      </x:c>
      <x:c r="R249" s="3" t="n">
        <x:v>308</x:v>
      </x:c>
      <x:c r="S249" s="3" t="n">
        <x:v>311</x:v>
      </x:c>
    </x:row>
    <x:row r="250">
      <x:c r="B250" s="3"/>
      <x:c r="C250" s="3" t="str">
        <x:v>Upside</x:v>
      </x:c>
      <x:c r="D250" s="3"/>
      <x:c r="E250" s="3"/>
      <x:c r="F250" s="3"/>
      <x:c r="G250" s="3"/>
      <x:c r="H250" s="3" t="n">
        <x:v>281</x:v>
      </x:c>
      <x:c r="I250" s="3" t="n">
        <x:v>281</x:v>
      </x:c>
      <x:c r="J250" s="3" t="n">
        <x:v>286</x:v>
      </x:c>
      <x:c r="K250" s="3" t="n">
        <x:v>291</x:v>
      </x:c>
      <x:c r="L250" s="3" t="n">
        <x:v>296</x:v>
      </x:c>
      <x:c r="M250" s="3" t="n">
        <x:v>301</x:v>
      </x:c>
      <x:c r="N250" s="3" t="n">
        <x:v>306</x:v>
      </x:c>
      <x:c r="O250" s="3" t="n">
        <x:v>311</x:v>
      </x:c>
      <x:c r="P250" s="3" t="n">
        <x:v>316</x:v>
      </x:c>
      <x:c r="Q250" s="3" t="n">
        <x:v>321</x:v>
      </x:c>
      <x:c r="R250" s="3" t="n">
        <x:v>326</x:v>
      </x:c>
      <x:c r="S250" s="3" t="n">
        <x:v>331</x:v>
      </x:c>
    </x:row>
    <x:row r="251">
      <x:c r="B251" s="3"/>
      <x:c r="C251" s="3" t="str">
        <x:v>Downside</x:v>
      </x:c>
      <x:c r="D251" s="3"/>
      <x:c r="E251" s="3"/>
      <x:c r="F251" s="3"/>
      <x:c r="G251" s="3"/>
      <x:c r="H251" s="3" t="n">
        <x:v>281</x:v>
      </x:c>
      <x:c r="I251" s="3" t="n">
        <x:v>281</x:v>
      </x:c>
      <x:c r="J251" s="3" t="n">
        <x:v>283</x:v>
      </x:c>
      <x:c r="K251" s="3" t="n">
        <x:v>285</x:v>
      </x:c>
      <x:c r="L251" s="3" t="n">
        <x:v>287</x:v>
      </x:c>
      <x:c r="M251" s="3" t="n">
        <x:v>289</x:v>
      </x:c>
      <x:c r="N251" s="3" t="n">
        <x:v>291</x:v>
      </x:c>
      <x:c r="O251" s="3" t="n">
        <x:v>293</x:v>
      </x:c>
      <x:c r="P251" s="3" t="n">
        <x:v>295</x:v>
      </x:c>
      <x:c r="Q251" s="3" t="n">
        <x:v>297</x:v>
      </x:c>
      <x:c r="R251" s="3" t="n">
        <x:v>299</x:v>
      </x:c>
      <x:c r="S251" s="3" t="n">
        <x:v>301</x:v>
      </x:c>
    </x:row>
    <x:row r="252"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</x:row>
  </x:sheetData>
  <x:dataValidations count="1">
    <x:dataValidation type="list" sqref="D4">
      <x:formula1>"1,2,3"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Historical financial performance · ACTUAL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 t="str">
        <x:v>USD millions unless labeled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/>
      <x:c r="C7" s="6"/>
      <x:c r="D7" s="6" t="str">
        <x:v>2023Q1</x:v>
      </x:c>
      <x:c r="E7" s="6" t="str">
        <x:v>2023Q2</x:v>
      </x:c>
      <x:c r="F7" s="6" t="str">
        <x:v>2023Q3</x:v>
      </x:c>
      <x:c r="G7" s="6" t="str">
        <x:v>2023Q4</x:v>
      </x:c>
      <x:c r="H7" s="6" t="str">
        <x:v>2024Q1</x:v>
      </x:c>
      <x:c r="I7" s="6" t="str">
        <x:v>2024Q2</x:v>
      </x:c>
      <x:c r="J7" s="6" t="str">
        <x:v>2024Q3</x:v>
      </x:c>
      <x:c r="K7" s="6" t="str">
        <x:v>2024Q4</x:v>
      </x:c>
      <x:c r="L7" s="6" t="str">
        <x:v>2025Q1</x:v>
      </x:c>
      <x:c r="M7" s="6" t="str">
        <x:v>2025Q2</x:v>
      </x:c>
      <x:c r="N7" s="6" t="str">
        <x:v>2025Q3</x:v>
      </x:c>
      <x:c r="O7" s="6" t="str">
        <x:v>2025Q4</x:v>
      </x:c>
      <x:c r="P7" s="6" t="str">
        <x:v>2026Q1</x:v>
      </x:c>
      <x:c r="Q7" s="6" t="str">
        <x:v>2026Q2</x:v>
      </x:c>
      <x:c r="R7" s="3"/>
      <x:c r="S7" s="3"/>
    </x:row>
    <x:row r="8"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>
      <x:c r="B9" s="13" t="str">
        <x:v>Total revenue</x:v>
      </x:c>
      <x:c r="C9" s="13"/>
      <x:c r="D9" s="13" t="n">
        <x:v>441</x:v>
      </x:c>
      <x:c r="E9" s="13" t="n">
        <x:v>486</x:v>
      </x:c>
      <x:c r="F9" s="13" t="n">
        <x:v>467</x:v>
      </x:c>
      <x:c r="G9" s="13" t="n">
        <x:v>471</x:v>
      </x:c>
      <x:c r="H9" s="13" t="n">
        <x:v>618</x:v>
      </x:c>
      <x:c r="I9" s="13" t="n">
        <x:v>682</x:v>
      </x:c>
      <x:c r="J9" s="13" t="n">
        <x:v>637</x:v>
      </x:c>
      <x:c r="K9" s="13" t="n">
        <x:v>1014</x:v>
      </x:c>
      <x:c r="L9" s="13" t="n">
        <x:v>927</x:v>
      </x:c>
      <x:c r="M9" s="13" t="n">
        <x:v>989</x:v>
      </x:c>
      <x:c r="N9" s="13" t="n">
        <x:v>1274</x:v>
      </x:c>
      <x:c r="O9" s="13" t="n">
        <x:v>1283</x:v>
      </x:c>
      <x:c r="P9" s="13" t="n">
        <x:v>1067</x:v>
      </x:c>
      <x:c r="Q9" s="13" t="n">
        <x:v>1308</x:v>
      </x:c>
      <x:c r="R9" s="13"/>
      <x:c r="S9" s="13"/>
    </x:row>
    <x:row r="10">
      <x:c r="B10" s="3" t="str">
        <x:v>Transaction revenue</x:v>
      </x:c>
      <x:c r="C10" s="3"/>
      <x:c r="D10" s="3" t="n">
        <x:v>207</x:v>
      </x:c>
      <x:c r="E10" s="3" t="n">
        <x:v>193</x:v>
      </x:c>
      <x:c r="F10" s="3" t="n">
        <x:v>185</x:v>
      </x:c>
      <x:c r="G10" s="3" t="n">
        <x:v>200</x:v>
      </x:c>
      <x:c r="H10" s="3" t="n">
        <x:v>329</x:v>
      </x:c>
      <x:c r="I10" s="3" t="n">
        <x:v>327</x:v>
      </x:c>
      <x:c r="J10" s="3" t="n">
        <x:v>319</x:v>
      </x:c>
      <x:c r="K10" s="3" t="n">
        <x:v>672</x:v>
      </x:c>
      <x:c r="L10" s="3" t="n">
        <x:v>583</x:v>
      </x:c>
      <x:c r="M10" s="3" t="n">
        <x:v>539</x:v>
      </x:c>
      <x:c r="N10" s="3" t="n">
        <x:v>730</x:v>
      </x:c>
      <x:c r="O10" s="3" t="n">
        <x:v>776</x:v>
      </x:c>
      <x:c r="P10" s="3" t="n">
        <x:v>623</x:v>
      </x:c>
      <x:c r="Q10" s="3" t="n">
        <x:v>776</x:v>
      </x:c>
      <x:c r="R10" s="3"/>
      <x:c r="S10" s="3"/>
    </x:row>
    <x:row r="11">
      <x:c r="B11" s="3" t="str">
        <x:v>Net interest revenue</x:v>
      </x:c>
      <x:c r="C11" s="3"/>
      <x:c r="D11" s="3" t="n">
        <x:v>208</x:v>
      </x:c>
      <x:c r="E11" s="3" t="n">
        <x:v>234</x:v>
      </x:c>
      <x:c r="F11" s="3" t="n">
        <x:v>251</x:v>
      </x:c>
      <x:c r="G11" s="3" t="n">
        <x:v>236</x:v>
      </x:c>
      <x:c r="H11" s="3" t="n">
        <x:v>254</x:v>
      </x:c>
      <x:c r="I11" s="3" t="n">
        <x:v>285</x:v>
      </x:c>
      <x:c r="J11" s="3" t="n">
        <x:v>274</x:v>
      </x:c>
      <x:c r="K11" s="3" t="n">
        <x:v>296</x:v>
      </x:c>
      <x:c r="L11" s="3" t="n">
        <x:v>290</x:v>
      </x:c>
      <x:c r="M11" s="3" t="n">
        <x:v>357</x:v>
      </x:c>
      <x:c r="N11" s="3" t="n">
        <x:v>456</x:v>
      </x:c>
      <x:c r="O11" s="3" t="n">
        <x:v>411</x:v>
      </x:c>
      <x:c r="P11" s="3" t="n">
        <x:v>359</x:v>
      </x:c>
      <x:c r="Q11" s="3" t="n">
        <x:v>389</x:v>
      </x:c>
      <x:c r="R11" s="3"/>
      <x:c r="S11" s="3"/>
    </x:row>
    <x:row r="12">
      <x:c r="B12" s="3" t="str">
        <x:v>Other revenue</x:v>
      </x:c>
      <x:c r="C12" s="3"/>
      <x:c r="D12" s="3" t="n">
        <x:v>26</x:v>
      </x:c>
      <x:c r="E12" s="3" t="n">
        <x:v>59</x:v>
      </x:c>
      <x:c r="F12" s="3" t="n">
        <x:v>31</x:v>
      </x:c>
      <x:c r="G12" s="3" t="n">
        <x:v>35</x:v>
      </x:c>
      <x:c r="H12" s="3" t="n">
        <x:v>35</x:v>
      </x:c>
      <x:c r="I12" s="3" t="n">
        <x:v>70</x:v>
      </x:c>
      <x:c r="J12" s="3" t="n">
        <x:v>44</x:v>
      </x:c>
      <x:c r="K12" s="3" t="n">
        <x:v>46</x:v>
      </x:c>
      <x:c r="L12" s="3" t="n">
        <x:v>54</x:v>
      </x:c>
      <x:c r="M12" s="3" t="n">
        <x:v>93</x:v>
      </x:c>
      <x:c r="N12" s="3" t="n">
        <x:v>88</x:v>
      </x:c>
      <x:c r="O12" s="3" t="n">
        <x:v>96</x:v>
      </x:c>
      <x:c r="P12" s="3" t="n">
        <x:v>85</x:v>
      </x:c>
      <x:c r="Q12" s="3" t="n">
        <x:v>143</x:v>
      </x:c>
      <x:c r="R12" s="3"/>
      <x:c r="S12" s="3"/>
    </x:row>
    <x:row r="13">
      <x:c r="B13" s="3" t="str">
        <x:v>Options revenue</x:v>
      </x:c>
      <x:c r="C13" s="3"/>
      <x:c r="D13" s="3" t="n">
        <x:v>133</x:v>
      </x:c>
      <x:c r="E13" s="3" t="n">
        <x:v>127</x:v>
      </x:c>
      <x:c r="F13" s="3" t="n">
        <x:v>124</x:v>
      </x:c>
      <x:c r="G13" s="3" t="n">
        <x:v>121</x:v>
      </x:c>
      <x:c r="H13" s="3" t="n">
        <x:v>154</x:v>
      </x:c>
      <x:c r="I13" s="3" t="n">
        <x:v>182</x:v>
      </x:c>
      <x:c r="J13" s="3" t="n">
        <x:v>202</x:v>
      </x:c>
      <x:c r="K13" s="3" t="n">
        <x:v>222</x:v>
      </x:c>
      <x:c r="L13" s="3" t="n">
        <x:v>240</x:v>
      </x:c>
      <x:c r="M13" s="3" t="n">
        <x:v>265</x:v>
      </x:c>
      <x:c r="N13" s="3" t="n">
        <x:v>304</x:v>
      </x:c>
      <x:c r="O13" s="3" t="n">
        <x:v>314</x:v>
      </x:c>
      <x:c r="P13" s="3" t="n">
        <x:v>260</x:v>
      </x:c>
      <x:c r="Q13" s="3" t="n">
        <x:v>342</x:v>
      </x:c>
      <x:c r="R13" s="3"/>
      <x:c r="S13" s="3"/>
    </x:row>
    <x:row r="14">
      <x:c r="B14" s="3" t="str">
        <x:v>Crypto revenue</x:v>
      </x:c>
      <x:c r="C14" s="3"/>
      <x:c r="D14" s="3" t="n">
        <x:v>38</x:v>
      </x:c>
      <x:c r="E14" s="3" t="n">
        <x:v>31</x:v>
      </x:c>
      <x:c r="F14" s="3" t="n">
        <x:v>23</x:v>
      </x:c>
      <x:c r="G14" s="3" t="n">
        <x:v>43</x:v>
      </x:c>
      <x:c r="H14" s="3" t="n">
        <x:v>126</x:v>
      </x:c>
      <x:c r="I14" s="3" t="n">
        <x:v>81</x:v>
      </x:c>
      <x:c r="J14" s="3" t="n">
        <x:v>61</x:v>
      </x:c>
      <x:c r="K14" s="3" t="n">
        <x:v>358</x:v>
      </x:c>
      <x:c r="L14" s="3" t="n">
        <x:v>252</x:v>
      </x:c>
      <x:c r="M14" s="3" t="n">
        <x:v>160</x:v>
      </x:c>
      <x:c r="N14" s="3" t="n">
        <x:v>268</x:v>
      </x:c>
      <x:c r="O14" s="3" t="n">
        <x:v>221</x:v>
      </x:c>
      <x:c r="P14" s="3" t="n">
        <x:v>134</x:v>
      </x:c>
      <x:c r="Q14" s="3" t="n">
        <x:v>100</x:v>
      </x:c>
      <x:c r="R14" s="3"/>
      <x:c r="S14" s="3"/>
    </x:row>
    <x:row r="15">
      <x:c r="B15" s="3" t="str">
        <x:v>Equities revenue</x:v>
      </x:c>
      <x:c r="C15" s="3"/>
      <x:c r="D15" s="3" t="n">
        <x:v>27</x:v>
      </x:c>
      <x:c r="E15" s="3" t="n">
        <x:v>25</x:v>
      </x:c>
      <x:c r="F15" s="3" t="n">
        <x:v>27</x:v>
      </x:c>
      <x:c r="G15" s="3" t="n">
        <x:v>25</x:v>
      </x:c>
      <x:c r="H15" s="3" t="n">
        <x:v>39</x:v>
      </x:c>
      <x:c r="I15" s="3" t="n">
        <x:v>40</x:v>
      </x:c>
      <x:c r="J15" s="3" t="n">
        <x:v>37</x:v>
      </x:c>
      <x:c r="K15" s="3" t="n">
        <x:v>61</x:v>
      </x:c>
      <x:c r="L15" s="3" t="n">
        <x:v>56</x:v>
      </x:c>
      <x:c r="M15" s="3" t="n">
        <x:v>66</x:v>
      </x:c>
      <x:c r="N15" s="3" t="n">
        <x:v>86</x:v>
      </x:c>
      <x:c r="O15" s="3" t="n">
        <x:v>94</x:v>
      </x:c>
      <x:c r="P15" s="3" t="n">
        <x:v>82</x:v>
      </x:c>
      <x:c r="Q15" s="3" t="n">
        <x:v>129</x:v>
      </x:c>
      <x:c r="R15" s="3"/>
      <x:c r="S15" s="3"/>
    </x:row>
    <x:row r="16">
      <x:c r="B16" s="3" t="str">
        <x:v>Event-contract revenue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 t="n">
        <x:v>3</x:v>
      </x:c>
      <x:c r="M16" s="3" t="n">
        <x:v>10</x:v>
      </x:c>
      <x:c r="N16" s="3"/>
      <x:c r="O16" s="3"/>
      <x:c r="P16" s="3" t="n">
        <x:v>104</x:v>
      </x:c>
      <x:c r="Q16" s="3" t="n">
        <x:v>156</x:v>
      </x:c>
      <x:c r="R16" s="3"/>
      <x:c r="S16" s="3"/>
    </x:row>
    <x:row r="17">
      <x:c r="B17" s="13" t="str">
        <x:v>Operating expense</x:v>
      </x:c>
      <x:c r="C17" s="13"/>
      <x:c r="D17" s="13" t="n">
        <x:v>950</x:v>
      </x:c>
      <x:c r="E17" s="13" t="n">
        <x:v>466</x:v>
      </x:c>
      <x:c r="F17" s="13" t="n">
        <x:v>540</x:v>
      </x:c>
      <x:c r="G17" s="13" t="n">
        <x:v>445</x:v>
      </x:c>
      <x:c r="H17" s="13" t="n">
        <x:v>460</x:v>
      </x:c>
      <x:c r="I17" s="13" t="n">
        <x:v>493</x:v>
      </x:c>
      <x:c r="J17" s="13" t="n">
        <x:v>486</x:v>
      </x:c>
      <x:c r="K17" s="13" t="n">
        <x:v>458</x:v>
      </x:c>
      <x:c r="L17" s="13" t="n">
        <x:v>557</x:v>
      </x:c>
      <x:c r="M17" s="13" t="n">
        <x:v>550</x:v>
      </x:c>
      <x:c r="N17" s="13" t="n">
        <x:v>639</x:v>
      </x:c>
      <x:c r="O17" s="13" t="n">
        <x:v>633</x:v>
      </x:c>
      <x:c r="P17" s="13" t="n">
        <x:v>656</x:v>
      </x:c>
      <x:c r="Q17" s="13" t="n">
        <x:v>734</x:v>
      </x:c>
      <x:c r="R17" s="13"/>
      <x:c r="S17" s="13"/>
    </x:row>
    <x:row r="18">
      <x:c r="B18" s="13" t="str">
        <x:v>Operating income</x:v>
      </x:c>
      <x:c r="C18" s="13"/>
      <x:c r="D18" s="13" t="n">
        <x:v>-509</x:v>
      </x:c>
      <x:c r="E18" s="13" t="n">
        <x:v>20</x:v>
      </x:c>
      <x:c r="F18" s="13" t="n">
        <x:v>-73</x:v>
      </x:c>
      <x:c r="G18" s="13" t="n">
        <x:v>26</x:v>
      </x:c>
      <x:c r="H18" s="13" t="n">
        <x:v>158</x:v>
      </x:c>
      <x:c r="I18" s="13" t="n">
        <x:v>189</x:v>
      </x:c>
      <x:c r="J18" s="13" t="n">
        <x:v>151</x:v>
      </x:c>
      <x:c r="K18" s="13" t="n">
        <x:v>556</x:v>
      </x:c>
      <x:c r="L18" s="13" t="n">
        <x:v>370</x:v>
      </x:c>
      <x:c r="M18" s="13" t="n">
        <x:v>439</x:v>
      </x:c>
      <x:c r="N18" s="13" t="n">
        <x:v>635</x:v>
      </x:c>
      <x:c r="O18" s="13" t="n">
        <x:v>650</x:v>
      </x:c>
      <x:c r="P18" s="13" t="n">
        <x:v>411</x:v>
      </x:c>
      <x:c r="Q18" s="13" t="n">
        <x:v>574</x:v>
      </x:c>
      <x:c r="R18" s="13"/>
      <x:c r="S18" s="13"/>
    </x:row>
    <x:row r="19">
      <x:c r="B19" s="3" t="str">
        <x:v>Net income</x:v>
      </x:c>
      <x:c r="C19" s="3"/>
      <x:c r="D19" s="3" t="n">
        <x:v>-511</x:v>
      </x:c>
      <x:c r="E19" s="3" t="n">
        <x:v>25</x:v>
      </x:c>
      <x:c r="F19" s="3" t="n">
        <x:v>-85</x:v>
      </x:c>
      <x:c r="G19" s="3" t="n">
        <x:v>30</x:v>
      </x:c>
      <x:c r="H19" s="3" t="n">
        <x:v>157</x:v>
      </x:c>
      <x:c r="I19" s="3" t="n">
        <x:v>188</x:v>
      </x:c>
      <x:c r="J19" s="3" t="n">
        <x:v>150</x:v>
      </x:c>
      <x:c r="K19" s="3" t="n">
        <x:v>916</x:v>
      </x:c>
      <x:c r="L19" s="3" t="n">
        <x:v>336</x:v>
      </x:c>
      <x:c r="M19" s="3" t="n">
        <x:v>386</x:v>
      </x:c>
      <x:c r="N19" s="3" t="n">
        <x:v>556</x:v>
      </x:c>
      <x:c r="O19" s="3" t="n">
        <x:v>605</x:v>
      </x:c>
      <x:c r="P19" s="3" t="n">
        <x:v>346</x:v>
      </x:c>
      <x:c r="Q19" s="3" t="n">
        <x:v>573</x:v>
      </x:c>
      <x:c r="R19" s="3"/>
      <x:c r="S19" s="3"/>
    </x:row>
    <x:row r="20">
      <x:c r="B20" s="13" t="str">
        <x:v>Adjusted EBITDA</x:v>
      </x:c>
      <x:c r="C20" s="13"/>
      <x:c r="D20" s="13" t="n">
        <x:v>115</x:v>
      </x:c>
      <x:c r="E20" s="13" t="n">
        <x:v>151</x:v>
      </x:c>
      <x:c r="F20" s="13" t="n">
        <x:v>137</x:v>
      </x:c>
      <x:c r="G20" s="13" t="n">
        <x:v>133</x:v>
      </x:c>
      <x:c r="H20" s="13" t="n">
        <x:v>247</x:v>
      </x:c>
      <x:c r="I20" s="13" t="n">
        <x:v>301</x:v>
      </x:c>
      <x:c r="J20" s="13" t="n">
        <x:v>268</x:v>
      </x:c>
      <x:c r="K20" s="13" t="n">
        <x:v>613</x:v>
      </x:c>
      <x:c r="L20" s="13" t="n">
        <x:v>470</x:v>
      </x:c>
      <x:c r="M20" s="13" t="n">
        <x:v>549</x:v>
      </x:c>
      <x:c r="N20" s="13" t="n">
        <x:v>742</x:v>
      </x:c>
      <x:c r="O20" s="13" t="n">
        <x:v>761</x:v>
      </x:c>
      <x:c r="P20" s="13" t="n">
        <x:v>470</x:v>
      </x:c>
      <x:c r="Q20" s="13" t="n">
        <x:v>741</x:v>
      </x:c>
      <x:c r="R20" s="13"/>
      <x:c r="S20" s="13"/>
    </x:row>
    <x:row r="21">
      <x:c r="B21" s="3" t="str">
        <x:v>Operating margin (%)</x:v>
      </x:c>
      <x:c r="C21" s="3"/>
      <x:c r="D21" s="14" t="n">
        <x:v>-115.41950113378685</x:v>
      </x:c>
      <x:c r="E21" s="14" t="n">
        <x:v>4.11522633744856</x:v>
      </x:c>
      <x:c r="F21" s="14" t="n">
        <x:v>-15.63169164882227</x:v>
      </x:c>
      <x:c r="G21" s="14" t="n">
        <x:v>5.520169851380042</x:v>
      </x:c>
      <x:c r="H21" s="14" t="n">
        <x:v>25.566343042071196</x:v>
      </x:c>
      <x:c r="I21" s="14" t="n">
        <x:v>27.712609970674485</x:v>
      </x:c>
      <x:c r="J21" s="14" t="n">
        <x:v>23.704866562009418</x:v>
      </x:c>
      <x:c r="K21" s="14" t="n">
        <x:v>54.832347140039445</x:v>
      </x:c>
      <x:c r="L21" s="14" t="n">
        <x:v>39.91370010787487</x:v>
      </x:c>
      <x:c r="M21" s="14" t="n">
        <x:v>44.388270980788676</x:v>
      </x:c>
      <x:c r="N21" s="14" t="n">
        <x:v>49.84301412872841</x:v>
      </x:c>
      <x:c r="O21" s="14" t="n">
        <x:v>50.662509742790334</x:v>
      </x:c>
      <x:c r="P21" s="14" t="n">
        <x:v>38.51921274601687</x:v>
      </x:c>
      <x:c r="Q21" s="14" t="n">
        <x:v>43.883792048929664</x:v>
      </x:c>
      <x:c r="R21" s="3"/>
      <x:c r="S21" s="3"/>
    </x:row>
    <x:row r="22">
      <x:c r="B22" s="3" t="str">
        <x:v>Adjusted EBITDA margin (%)</x:v>
      </x:c>
      <x:c r="C22" s="3"/>
      <x:c r="D22" s="14" t="n">
        <x:v>26.077097505668934</x:v>
      </x:c>
      <x:c r="E22" s="14" t="n">
        <x:v>31.069958847736626</x:v>
      </x:c>
      <x:c r="F22" s="14" t="n">
        <x:v>29.336188436830835</x:v>
      </x:c>
      <x:c r="G22" s="14" t="n">
        <x:v>28.237791932059448</x:v>
      </x:c>
      <x:c r="H22" s="14" t="n">
        <x:v>39.967637540453076</x:v>
      </x:c>
      <x:c r="I22" s="14" t="n">
        <x:v>44.13489736070381</x:v>
      </x:c>
      <x:c r="J22" s="14" t="n">
        <x:v>42.072213500784926</x:v>
      </x:c>
      <x:c r="K22" s="14" t="n">
        <x:v>60.45364891518738</x:v>
      </x:c>
      <x:c r="L22" s="14" t="n">
        <x:v>50.70118662351672</x:v>
      </x:c>
      <x:c r="M22" s="14" t="n">
        <x:v>55.51061678463094</x:v>
      </x:c>
      <x:c r="N22" s="14" t="n">
        <x:v>58.24175824175824</x:v>
      </x:c>
      <x:c r="O22" s="14" t="n">
        <x:v>59.3141075604053</x:v>
      </x:c>
      <x:c r="P22" s="14" t="n">
        <x:v>44.04873477038426</x:v>
      </x:c>
      <x:c r="Q22" s="14" t="n">
        <x:v>56.65137614678899</x:v>
      </x:c>
      <x:c r="R22" s="3"/>
      <x:c r="S22" s="3"/>
    </x:row>
    <x:row r="23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>
      <x:c r="B26" s="3" t="str">
        <x:v>Source: data/processed/historical_financials_quarterly.csv; missing disclosures remain blank.</x:v>
      </x:c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Customer and operating metrics · ACTUAL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/>
      <x:c r="C7" s="6"/>
      <x:c r="D7" s="6" t="str">
        <x:v>2023Q1</x:v>
      </x:c>
      <x:c r="E7" s="6" t="str">
        <x:v>2023Q2</x:v>
      </x:c>
      <x:c r="F7" s="6" t="str">
        <x:v>2023Q3</x:v>
      </x:c>
      <x:c r="G7" s="6" t="str">
        <x:v>2023Q4</x:v>
      </x:c>
      <x:c r="H7" s="6" t="str">
        <x:v>2024Q1</x:v>
      </x:c>
      <x:c r="I7" s="6" t="str">
        <x:v>2024Q2</x:v>
      </x:c>
      <x:c r="J7" s="6" t="str">
        <x:v>2024Q3</x:v>
      </x:c>
      <x:c r="K7" s="6" t="str">
        <x:v>2024Q4</x:v>
      </x:c>
      <x:c r="L7" s="6" t="str">
        <x:v>2025Q1</x:v>
      </x:c>
      <x:c r="M7" s="6" t="str">
        <x:v>2025Q2</x:v>
      </x:c>
      <x:c r="N7" s="6" t="str">
        <x:v>2025Q3</x:v>
      </x:c>
      <x:c r="O7" s="6" t="str">
        <x:v>2025Q4</x:v>
      </x:c>
      <x:c r="P7" s="6" t="str">
        <x:v>2026Q1</x:v>
      </x:c>
      <x:c r="Q7" s="6" t="str">
        <x:v>2026Q2</x:v>
      </x:c>
      <x:c r="R7" s="3"/>
      <x:c r="S7" s="3"/>
    </x:row>
    <x:row r="8"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>
      <x:c r="B9" s="3" t="str">
        <x:v>Funded customers (m)</x:v>
      </x:c>
      <x:c r="C9" s="3"/>
      <x:c r="D9" s="3" t="n">
        <x:v>23.1</x:v>
      </x:c>
      <x:c r="E9" s="3" t="n">
        <x:v>23.2</x:v>
      </x:c>
      <x:c r="F9" s="3" t="n">
        <x:v>23.3</x:v>
      </x:c>
      <x:c r="G9" s="3" t="n">
        <x:v>23.4</x:v>
      </x:c>
      <x:c r="H9" s="3" t="n">
        <x:v>23.9</x:v>
      </x:c>
      <x:c r="I9" s="3" t="n">
        <x:v>24.2</x:v>
      </x:c>
      <x:c r="J9" s="3" t="n">
        <x:v>24.3</x:v>
      </x:c>
      <x:c r="K9" s="3" t="n">
        <x:v>25.2</x:v>
      </x:c>
      <x:c r="L9" s="3" t="n">
        <x:v>25.8</x:v>
      </x:c>
      <x:c r="M9" s="3" t="n">
        <x:v>26.5</x:v>
      </x:c>
      <x:c r="N9" s="3" t="n">
        <x:v>26.8</x:v>
      </x:c>
      <x:c r="O9" s="3" t="n">
        <x:v>27</x:v>
      </x:c>
      <x:c r="P9" s="3" t="n">
        <x:v>27.4</x:v>
      </x:c>
      <x:c r="Q9" s="3" t="n">
        <x:v>28.4</x:v>
      </x:c>
      <x:c r="R9" s="3"/>
      <x:c r="S9" s="3"/>
    </x:row>
    <x:row r="10">
      <x:c r="B10" s="3" t="str">
        <x:v>Platform assets ($b)</x:v>
      </x:c>
      <x:c r="C10" s="3"/>
      <x:c r="D10" s="3" t="n">
        <x:v>78.4</x:v>
      </x:c>
      <x:c r="E10" s="3" t="n">
        <x:v>88.8</x:v>
      </x:c>
      <x:c r="F10" s="3" t="n">
        <x:v>86.5</x:v>
      </x:c>
      <x:c r="G10" s="3" t="n">
        <x:v>102.6</x:v>
      </x:c>
      <x:c r="H10" s="3" t="n">
        <x:v>129.6</x:v>
      </x:c>
      <x:c r="I10" s="3" t="n">
        <x:v>139.7</x:v>
      </x:c>
      <x:c r="J10" s="3" t="n">
        <x:v>152.2</x:v>
      </x:c>
      <x:c r="K10" s="3" t="n">
        <x:v>192.9</x:v>
      </x:c>
      <x:c r="L10" s="3" t="n">
        <x:v>220.6</x:v>
      </x:c>
      <x:c r="M10" s="3" t="n">
        <x:v>278.6</x:v>
      </x:c>
      <x:c r="N10" s="3" t="n">
        <x:v>332.7</x:v>
      </x:c>
      <x:c r="O10" s="3" t="n">
        <x:v>322.1</x:v>
      </x:c>
      <x:c r="P10" s="3" t="n">
        <x:v>307.3</x:v>
      </x:c>
      <x:c r="Q10" s="3" t="n">
        <x:v>368.7</x:v>
      </x:c>
      <x:c r="R10" s="3"/>
      <x:c r="S10" s="3"/>
    </x:row>
    <x:row r="11">
      <x:c r="B11" s="3" t="str">
        <x:v>Net deposits ($b)</x:v>
      </x:c>
      <x:c r="C11" s="3"/>
      <x:c r="D11" s="3" t="n">
        <x:v>4.4</x:v>
      </x:c>
      <x:c r="E11" s="3" t="n">
        <x:v>4</x:v>
      </x:c>
      <x:c r="F11" s="3" t="n">
        <x:v>4</x:v>
      </x:c>
      <x:c r="G11" s="3" t="n">
        <x:v>4.6</x:v>
      </x:c>
      <x:c r="H11" s="3" t="n">
        <x:v>11.2</x:v>
      </x:c>
      <x:c r="I11" s="3" t="n">
        <x:v>13.200000000000001</x:v>
      </x:c>
      <x:c r="J11" s="3" t="n">
        <x:v>10</x:v>
      </x:c>
      <x:c r="K11" s="3" t="n">
        <x:v>16.1</x:v>
      </x:c>
      <x:c r="L11" s="3" t="n">
        <x:v>18</x:v>
      </x:c>
      <x:c r="M11" s="3" t="n">
        <x:v>13.8</x:v>
      </x:c>
      <x:c r="N11" s="3" t="n">
        <x:v>20.4</x:v>
      </x:c>
      <x:c r="O11" s="3" t="n">
        <x:v>15.899999999999999</x:v>
      </x:c>
      <x:c r="P11" s="3" t="n">
        <x:v>17.7</x:v>
      </x:c>
      <x:c r="Q11" s="3" t="n">
        <x:v>21.7</x:v>
      </x:c>
      <x:c r="R11" s="3"/>
      <x:c r="S11" s="3"/>
    </x:row>
    <x:row r="12">
      <x:c r="B12" s="3" t="str">
        <x:v>Reported ARPU ($ annualized)</x:v>
      </x:c>
      <x:c r="C12" s="3"/>
      <x:c r="D12" s="3" t="n">
        <x:v>77</x:v>
      </x:c>
      <x:c r="E12" s="3" t="n">
        <x:v>84</x:v>
      </x:c>
      <x:c r="F12" s="3" t="n">
        <x:v>80</x:v>
      </x:c>
      <x:c r="G12" s="3" t="n">
        <x:v>81</x:v>
      </x:c>
      <x:c r="H12" s="3" t="n">
        <x:v>104</x:v>
      </x:c>
      <x:c r="I12" s="3" t="n">
        <x:v>113</x:v>
      </x:c>
      <x:c r="J12" s="3" t="n">
        <x:v>105</x:v>
      </x:c>
      <x:c r="K12" s="3" t="n">
        <x:v>164</x:v>
      </x:c>
      <x:c r="L12" s="3" t="n">
        <x:v>145</x:v>
      </x:c>
      <x:c r="M12" s="3" t="n">
        <x:v>151</x:v>
      </x:c>
      <x:c r="N12" s="3" t="n">
        <x:v>191</x:v>
      </x:c>
      <x:c r="O12" s="3" t="n">
        <x:v>191</x:v>
      </x:c>
      <x:c r="P12" s="3" t="n">
        <x:v>157</x:v>
      </x:c>
      <x:c r="Q12" s="3" t="n">
        <x:v>187</x:v>
      </x:c>
      <x:c r="R12" s="3"/>
      <x:c r="S12" s="3"/>
    </x:row>
    <x:row r="13">
      <x:c r="B13" s="3" t="str">
        <x:v>Gold subscribers (m)</x:v>
      </x:c>
      <x:c r="C13" s="3"/>
      <x:c r="D13" s="3" t="n">
        <x:v>1.2</x:v>
      </x:c>
      <x:c r="E13" s="3"/>
      <x:c r="F13" s="3"/>
      <x:c r="G13" s="3" t="n">
        <x:v>1.42</x:v>
      </x:c>
      <x:c r="H13" s="3" t="n">
        <x:v>1.7</x:v>
      </x:c>
      <x:c r="I13" s="3" t="n">
        <x:v>2</x:v>
      </x:c>
      <x:c r="J13" s="3" t="n">
        <x:v>2.2</x:v>
      </x:c>
      <x:c r="K13" s="3" t="n">
        <x:v>2.6</x:v>
      </x:c>
      <x:c r="L13" s="3" t="n">
        <x:v>3.2</x:v>
      </x:c>
      <x:c r="M13" s="3" t="n">
        <x:v>3.5</x:v>
      </x:c>
      <x:c r="N13" s="3" t="n">
        <x:v>3.9</x:v>
      </x:c>
      <x:c r="O13" s="3" t="n">
        <x:v>4.2</x:v>
      </x:c>
      <x:c r="P13" s="3" t="n">
        <x:v>4.3</x:v>
      </x:c>
      <x:c r="Q13" s="3" t="n">
        <x:v>4.8</x:v>
      </x:c>
      <x:c r="R13" s="3"/>
      <x:c r="S13" s="3"/>
    </x:row>
    <x:row r="14">
      <x:c r="B14" s="3" t="str">
        <x:v>Options contracts (m)</x:v>
      </x:c>
      <x:c r="C14" s="3"/>
      <x:c r="D14" s="3" t="n">
        <x:v>272.4</x:v>
      </x:c>
      <x:c r="E14" s="3" t="n">
        <x:v>283.3</x:v>
      </x:c>
      <x:c r="F14" s="3" t="n">
        <x:v>300.7</x:v>
      </x:c>
      <x:c r="G14" s="3" t="n">
        <x:v>296.4</x:v>
      </x:c>
      <x:c r="H14" s="3" t="n">
        <x:v>343.5</x:v>
      </x:c>
      <x:c r="I14" s="3" t="n">
        <x:v>389.6</x:v>
      </x:c>
      <x:c r="J14" s="3" t="n">
        <x:v>443.5</x:v>
      </x:c>
      <x:c r="K14" s="3" t="n">
        <x:v>477.2</x:v>
      </x:c>
      <x:c r="L14" s="3" t="n">
        <x:v>500.1</x:v>
      </x:c>
      <x:c r="M14" s="3" t="n">
        <x:v>515.4</x:v>
      </x:c>
      <x:c r="N14" s="3" t="n">
        <x:v>610.1</x:v>
      </x:c>
      <x:c r="O14" s="3" t="n">
        <x:v>659.3</x:v>
      </x:c>
      <x:c r="P14" s="3" t="n">
        <x:v>586.2</x:v>
      </x:c>
      <x:c r="Q14" s="3" t="n">
        <x:v>773.9</x:v>
      </x:c>
      <x:c r="R14" s="3"/>
      <x:c r="S14" s="3"/>
    </x:row>
    <x:row r="15">
      <x:c r="B15" s="3" t="str">
        <x:v>Crypto notional ($b)</x:v>
      </x:c>
      <x:c r="C15" s="3"/>
      <x:c r="D15" s="3" t="n">
        <x:v>11.1</x:v>
      </x:c>
      <x:c r="E15" s="3" t="n">
        <x:v>9.1</x:v>
      </x:c>
      <x:c r="F15" s="3" t="n">
        <x:v>6.8</x:v>
      </x:c>
      <x:c r="G15" s="3" t="n">
        <x:v>12.8</x:v>
      </x:c>
      <x:c r="H15" s="3" t="n">
        <x:v>36</x:v>
      </x:c>
      <x:c r="I15" s="3" t="n">
        <x:v>21.5</x:v>
      </x:c>
      <x:c r="J15" s="3" t="n">
        <x:v>14.4</x:v>
      </x:c>
      <x:c r="K15" s="3" t="n">
        <x:v>71</x:v>
      </x:c>
      <x:c r="L15" s="3" t="n">
        <x:v>46.1</x:v>
      </x:c>
      <x:c r="M15" s="3" t="n">
        <x:v>35</x:v>
      </x:c>
      <x:c r="N15" s="3" t="n">
        <x:v>80</x:v>
      </x:c>
      <x:c r="O15" s="3" t="n">
        <x:v>82.3</x:v>
      </x:c>
      <x:c r="P15" s="3" t="n">
        <x:v>65.7</x:v>
      </x:c>
      <x:c r="Q15" s="3" t="n">
        <x:v>40.4</x:v>
      </x:c>
      <x:c r="R15" s="3"/>
      <x:c r="S15" s="3"/>
    </x:row>
    <x:row r="16">
      <x:c r="B16" s="3" t="str">
        <x:v>Equity notional ($b)</x:v>
      </x:c>
      <x:c r="C16" s="3"/>
      <x:c r="D16" s="3" t="n">
        <x:v>160.1</x:v>
      </x:c>
      <x:c r="E16" s="3" t="n">
        <x:v>155.2</x:v>
      </x:c>
      <x:c r="F16" s="3" t="n">
        <x:v>173.2</x:v>
      </x:c>
      <x:c r="G16" s="3" t="n">
        <x:v>166.9</x:v>
      </x:c>
      <x:c r="H16" s="3" t="n">
        <x:v>224.9</x:v>
      </x:c>
      <x:c r="I16" s="3" t="n">
        <x:v>243.6</x:v>
      </x:c>
      <x:c r="J16" s="3" t="n">
        <x:v>286.1</x:v>
      </x:c>
      <x:c r="K16" s="3" t="n">
        <x:v>423.3</x:v>
      </x:c>
      <x:c r="L16" s="3" t="n">
        <x:v>413.2</x:v>
      </x:c>
      <x:c r="M16" s="3" t="n">
        <x:v>517.4</x:v>
      </x:c>
      <x:c r="N16" s="3" t="n">
        <x:v>647.1</x:v>
      </x:c>
      <x:c r="O16" s="3" t="n">
        <x:v>710.2</x:v>
      </x:c>
      <x:c r="P16" s="3" t="n">
        <x:v>637.8</x:v>
      </x:c>
      <x:c r="Q16" s="3" t="n">
        <x:v>955.8</x:v>
      </x:c>
      <x:c r="R16" s="3"/>
      <x:c r="S16" s="3"/>
    </x:row>
    <x:row r="17">
      <x:c r="B17" s="3" t="str">
        <x:v>Event contracts (b)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 t="n">
        <x:v>8.8</x:v>
      </x:c>
      <x:c r="Q17" s="3" t="n">
        <x:v>13.6</x:v>
      </x:c>
      <x:c r="R17" s="3"/>
      <x:c r="S17" s="3"/>
    </x:row>
    <x:row r="18">
      <x:c r="B18" s="3" t="str">
        <x:v>Margin book ($b)</x:v>
      </x:c>
      <x:c r="C18" s="3"/>
      <x:c r="D18" s="3" t="n">
        <x:v>3.1</x:v>
      </x:c>
      <x:c r="E18" s="3" t="n">
        <x:v>3.3</x:v>
      </x:c>
      <x:c r="F18" s="3" t="n">
        <x:v>3.6</x:v>
      </x:c>
      <x:c r="G18" s="3" t="n">
        <x:v>3.5</x:v>
      </x:c>
      <x:c r="H18" s="3" t="n">
        <x:v>4.1</x:v>
      </x:c>
      <x:c r="I18" s="3" t="n">
        <x:v>5</x:v>
      </x:c>
      <x:c r="J18" s="3" t="n">
        <x:v>5.5</x:v>
      </x:c>
      <x:c r="K18" s="3" t="n">
        <x:v>7.9</x:v>
      </x:c>
      <x:c r="L18" s="3" t="n">
        <x:v>8.8</x:v>
      </x:c>
      <x:c r="M18" s="3" t="n">
        <x:v>9.5</x:v>
      </x:c>
      <x:c r="N18" s="3" t="n">
        <x:v>13.9</x:v>
      </x:c>
      <x:c r="O18" s="3" t="n">
        <x:v>16.8</x:v>
      </x:c>
      <x:c r="P18" s="3" t="n">
        <x:v>17</x:v>
      </x:c>
      <x:c r="Q18" s="3" t="n">
        <x:v>21.6</x:v>
      </x:c>
      <x:c r="R18" s="3"/>
      <x:c r="S18" s="3"/>
    </x:row>
    <x:row r="19">
      <x:c r="B19" s="3" t="str">
        <x:v>Cash/deposits ($b)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 t="n">
        <x:v>18.7</x:v>
      </x:c>
      <x:c r="R19" s="3"/>
      <x:c r="S19" s="3"/>
    </x:row>
    <x:row r="20">
      <x:c r="B20" s="3" t="str">
        <x:v>Cash Sweep ($b)</x:v>
      </x:c>
      <x:c r="C20" s="3"/>
      <x:c r="D20" s="3" t="n">
        <x:v>8.9</x:v>
      </x:c>
      <x:c r="E20" s="3" t="n">
        <x:v>11.9</x:v>
      </x:c>
      <x:c r="F20" s="3" t="n">
        <x:v>13.6</x:v>
      </x:c>
      <x:c r="G20" s="3" t="n">
        <x:v>16.4</x:v>
      </x:c>
      <x:c r="H20" s="3" t="n">
        <x:v>19</x:v>
      </x:c>
      <x:c r="I20" s="3" t="n">
        <x:v>20.9</x:v>
      </x:c>
      <x:c r="J20" s="3" t="n">
        <x:v>24.5</x:v>
      </x:c>
      <x:c r="K20" s="3" t="n">
        <x:v>26.1</x:v>
      </x:c>
      <x:c r="L20" s="3" t="n">
        <x:v>28.2</x:v>
      </x:c>
      <x:c r="M20" s="3" t="n">
        <x:v>32.7</x:v>
      </x:c>
      <x:c r="N20" s="3" t="n">
        <x:v>35.4</x:v>
      </x:c>
      <x:c r="O20" s="3" t="n">
        <x:v>32.8</x:v>
      </x:c>
      <x:c r="P20" s="3" t="n">
        <x:v>26</x:v>
      </x:c>
      <x:c r="Q20" s="3" t="n">
        <x:v>29.7</x:v>
      </x:c>
      <x:c r="R20" s="3"/>
      <x:c r="S20" s="3"/>
    </x:row>
    <x:row r="21"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>
      <x:c r="B23" s="3" t="str">
        <x:v>Stocks use quarter-end; net deposits and trading volume are quarterly flows.</x:v>
      </x:c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Revenue drivers and balance roll-forward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Case Selected:</x:v>
      </x:c>
      <x:c r="C4" s="15" t="str">
        <x:f>CHOOSE('Assumptions'!$D$4,"Base","Upside","Downside")</x:f>
        <x:v>Base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 t="str">
        <x:v>USD millions unless labeled</x:v>
      </x:c>
      <x:c r="C7" s="6"/>
      <x:c r="D7" s="6"/>
      <x:c r="E7" s="6"/>
      <x:c r="F7" s="6"/>
      <x:c r="G7" s="6"/>
      <x:c r="H7" s="6" t="str">
        <x:v>2026Q3</x:v>
      </x:c>
      <x:c r="I7" s="6" t="str">
        <x:v>2026Q4</x:v>
      </x:c>
      <x:c r="J7" s="6" t="str">
        <x:v>2027Q1</x:v>
      </x:c>
      <x:c r="K7" s="6" t="str">
        <x:v>2027Q2</x:v>
      </x:c>
      <x:c r="L7" s="6" t="str">
        <x:v>2027Q3</x:v>
      </x:c>
      <x:c r="M7" s="6" t="str">
        <x:v>2027Q4</x:v>
      </x:c>
      <x:c r="N7" s="6" t="str">
        <x:v>2028Q1</x:v>
      </x:c>
      <x:c r="O7" s="6" t="str">
        <x:v>2028Q2</x:v>
      </x:c>
      <x:c r="P7" s="6" t="str">
        <x:v>2028Q3</x:v>
      </x:c>
      <x:c r="Q7" s="6" t="str">
        <x:v>2028Q4</x:v>
      </x:c>
      <x:c r="R7" s="6" t="str">
        <x:v>2029Q1</x:v>
      </x:c>
      <x:c r="S7" s="6" t="str">
        <x:v>2029Q2</x:v>
      </x:c>
    </x:row>
    <x:row r="8">
      <x:c r="B8" s="3"/>
      <x:c r="C8" s="3"/>
      <x:c r="D8" s="3"/>
      <x:c r="E8" s="3"/>
      <x:c r="F8" s="3"/>
      <x:c r="G8" s="3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</x:row>
    <x:row r="9">
      <x:c r="B9" s="3"/>
      <x:c r="C9" s="3"/>
      <x:c r="D9" s="3"/>
      <x:c r="E9" s="3"/>
      <x:c r="F9" s="3"/>
      <x:c r="G9" s="3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</x:row>
    <x:row r="10">
      <x:c r="B10" s="3" t="str">
        <x:v>Beginning funded customers (m)</x:v>
      </x:c>
      <x:c r="C10" s="3"/>
      <x:c r="D10" s="3"/>
      <x:c r="E10" s="3"/>
      <x:c r="F10" s="3"/>
      <x:c r="G10" s="3"/>
      <x:c r="H10" s="16" t="n">
        <x:f>'Sources'!C13</x:f>
        <x:v>28.4</x:v>
      </x:c>
      <x:c r="I10" s="16" t="n">
        <x:f>H12</x:f>
        <x:v>28.700000000000003</x:v>
      </x:c>
      <x:c r="J10" s="16" t="n">
        <x:f>I12</x:f>
        <x:v>29.000000000000004</x:v>
      </x:c>
      <x:c r="K10" s="16" t="n">
        <x:f>J12</x:f>
        <x:v>29.300000000000004</x:v>
      </x:c>
      <x:c r="L10" s="16" t="n">
        <x:f>K12</x:f>
        <x:v>29.600000000000005</x:v>
      </x:c>
      <x:c r="M10" s="16" t="n">
        <x:f>L12</x:f>
        <x:v>29.900000000000006</x:v>
      </x:c>
      <x:c r="N10" s="16" t="n">
        <x:f>M12</x:f>
        <x:v>30.200000000000006</x:v>
      </x:c>
      <x:c r="O10" s="16" t="n">
        <x:f>N12</x:f>
        <x:v>30.500000000000007</x:v>
      </x:c>
      <x:c r="P10" s="16" t="n">
        <x:f>O12</x:f>
        <x:v>30.800000000000008</x:v>
      </x:c>
      <x:c r="Q10" s="16" t="n">
        <x:f>P12</x:f>
        <x:v>31.10000000000001</x:v>
      </x:c>
      <x:c r="R10" s="16" t="n">
        <x:f>Q12</x:f>
        <x:v>31.40000000000001</x:v>
      </x:c>
      <x:c r="S10" s="16" t="n">
        <x:f>R12</x:f>
        <x:v>31.70000000000001</x:v>
      </x:c>
    </x:row>
    <x:row r="11">
      <x:c r="B11" s="3" t="str">
        <x:v>Net customer additions (m)</x:v>
      </x:c>
      <x:c r="C11" s="3"/>
      <x:c r="D11" s="3"/>
      <x:c r="E11" s="3"/>
      <x:c r="F11" s="3"/>
      <x:c r="G11" s="3"/>
      <x:c r="H11" s="16" t="n">
        <x:f>H12-H10</x:f>
        <x:v>0.30000000000000426</x:v>
      </x:c>
      <x:c r="I11" s="16" t="n">
        <x:f>I12-I10</x:f>
        <x:v>0.3000000000000007</x:v>
      </x:c>
      <x:c r="J11" s="16" t="n">
        <x:f>J12-J10</x:f>
        <x:v>0.3000000000000007</x:v>
      </x:c>
      <x:c r="K11" s="16" t="n">
        <x:f>K12-K10</x:f>
        <x:v>0.3000000000000007</x:v>
      </x:c>
      <x:c r="L11" s="16" t="n">
        <x:f>L12-L10</x:f>
        <x:v>0.3000000000000007</x:v>
      </x:c>
      <x:c r="M11" s="16" t="n">
        <x:f>M12-M10</x:f>
        <x:v>0.3000000000000007</x:v>
      </x:c>
      <x:c r="N11" s="16" t="n">
        <x:f>N12-N10</x:f>
        <x:v>0.3000000000000007</x:v>
      </x:c>
      <x:c r="O11" s="16" t="n">
        <x:f>O12-O10</x:f>
        <x:v>0.3000000000000007</x:v>
      </x:c>
      <x:c r="P11" s="16" t="n">
        <x:f>P12-P10</x:f>
        <x:v>0.3000000000000007</x:v>
      </x:c>
      <x:c r="Q11" s="16" t="n">
        <x:f>Q12-Q10</x:f>
        <x:v>0.3000000000000007</x:v>
      </x:c>
      <x:c r="R11" s="16" t="n">
        <x:f>R12-R10</x:f>
        <x:v>0.3000000000000007</x:v>
      </x:c>
      <x:c r="S11" s="16" t="n">
        <x:f>S12-S10</x:f>
        <x:v>0.29999999999999716</x:v>
      </x:c>
    </x:row>
    <x:row r="12">
      <x:c r="B12" s="13" t="str">
        <x:v>Ending funded customers (m)</x:v>
      </x:c>
      <x:c r="C12" s="13"/>
      <x:c r="D12" s="13"/>
      <x:c r="E12" s="13"/>
      <x:c r="F12" s="13"/>
      <x:c r="G12" s="13"/>
      <x:c r="H12" s="17" t="n">
        <x:f>'Sources'!I14+'Assumptions'!H236</x:f>
        <x:v>28.700000000000003</x:v>
      </x:c>
      <x:c r="I12" s="17" t="n">
        <x:f>I10+'Assumptions'!I160</x:f>
        <x:v>29.000000000000004</x:v>
      </x:c>
      <x:c r="J12" s="17" t="n">
        <x:f>J10+'Assumptions'!J160</x:f>
        <x:v>29.300000000000004</x:v>
      </x:c>
      <x:c r="K12" s="17" t="n">
        <x:f>K10+'Assumptions'!K160</x:f>
        <x:v>29.600000000000005</x:v>
      </x:c>
      <x:c r="L12" s="17" t="n">
        <x:f>L10+'Assumptions'!L160</x:f>
        <x:v>29.900000000000006</x:v>
      </x:c>
      <x:c r="M12" s="17" t="n">
        <x:f>M10+'Assumptions'!M160</x:f>
        <x:v>30.200000000000006</x:v>
      </x:c>
      <x:c r="N12" s="17" t="n">
        <x:f>N10+'Assumptions'!N160</x:f>
        <x:v>30.500000000000007</x:v>
      </x:c>
      <x:c r="O12" s="17" t="n">
        <x:f>O10+'Assumptions'!O160</x:f>
        <x:v>30.800000000000008</x:v>
      </x:c>
      <x:c r="P12" s="17" t="n">
        <x:f>P10+'Assumptions'!P160</x:f>
        <x:v>31.10000000000001</x:v>
      </x:c>
      <x:c r="Q12" s="17" t="n">
        <x:f>Q10+'Assumptions'!Q160</x:f>
        <x:v>31.40000000000001</x:v>
      </x:c>
      <x:c r="R12" s="17" t="n">
        <x:f>R10+'Assumptions'!R160</x:f>
        <x:v>31.70000000000001</x:v>
      </x:c>
      <x:c r="S12" s="17" t="n">
        <x:f>S10+'Assumptions'!S160</x:f>
        <x:v>32.00000000000001</x:v>
      </x:c>
    </x:row>
    <x:row r="13">
      <x:c r="B13" s="3" t="str">
        <x:v>Average funded customers (m)</x:v>
      </x:c>
      <x:c r="C13" s="3"/>
      <x:c r="D13" s="3"/>
      <x:c r="E13" s="3"/>
      <x:c r="F13" s="3"/>
      <x:c r="G13" s="3"/>
      <x:c r="H13" s="16" t="n">
        <x:f>(H10+H12)/2</x:f>
        <x:v>28.55</x:v>
      </x:c>
      <x:c r="I13" s="16" t="n">
        <x:f>(I10+I12)/2</x:f>
        <x:v>28.85</x:v>
      </x:c>
      <x:c r="J13" s="16" t="n">
        <x:f>(J10+J12)/2</x:f>
        <x:v>29.150000000000006</x:v>
      </x:c>
      <x:c r="K13" s="16" t="n">
        <x:f>(K10+K12)/2</x:f>
        <x:v>29.450000000000003</x:v>
      </x:c>
      <x:c r="L13" s="16" t="n">
        <x:f>(L10+L12)/2</x:f>
        <x:v>29.750000000000007</x:v>
      </x:c>
      <x:c r="M13" s="16" t="n">
        <x:f>(M10+M12)/2</x:f>
        <x:v>30.050000000000004</x:v>
      </x:c>
      <x:c r="N13" s="16" t="n">
        <x:f>(N10+N12)/2</x:f>
        <x:v>30.35000000000001</x:v>
      </x:c>
      <x:c r="O13" s="16" t="n">
        <x:f>(O10+O12)/2</x:f>
        <x:v>30.650000000000006</x:v>
      </x:c>
      <x:c r="P13" s="16" t="n">
        <x:f>(P10+P12)/2</x:f>
        <x:v>30.95000000000001</x:v>
      </x:c>
      <x:c r="Q13" s="16" t="n">
        <x:f>(Q10+Q12)/2</x:f>
        <x:v>31.250000000000007</x:v>
      </x:c>
      <x:c r="R13" s="16" t="n">
        <x:f>(R10+R12)/2</x:f>
        <x:v>31.55000000000001</x:v>
      </x:c>
      <x:c r="S13" s="16" t="n">
        <x:f>(S10+S12)/2</x:f>
        <x:v>31.85000000000001</x:v>
      </x:c>
    </x:row>
    <x:row r="14">
      <x:c r="B14" s="3"/>
      <x:c r="C14" s="3"/>
      <x:c r="D14" s="3"/>
      <x:c r="E14" s="3"/>
      <x:c r="F14" s="3"/>
      <x:c r="G14" s="3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</x:row>
    <x:row r="15">
      <x:c r="B15" s="3" t="str">
        <x:v>Beginning platform assets ($b)</x:v>
      </x:c>
      <x:c r="C15" s="3"/>
      <x:c r="D15" s="3"/>
      <x:c r="E15" s="3"/>
      <x:c r="F15" s="3"/>
      <x:c r="G15" s="3"/>
      <x:c r="H15" s="16" t="n">
        <x:f>'Sources'!C14</x:f>
        <x:v>368.7</x:v>
      </x:c>
      <x:c r="I15" s="16" t="n">
        <x:f>H20</x:f>
        <x:v>388.5</x:v>
      </x:c>
      <x:c r="J15" s="16" t="n">
        <x:f>I20</x:f>
        <x:v>406.2</x:v>
      </x:c>
      <x:c r="K15" s="16" t="n">
        <x:f>J20</x:f>
        <x:v>423.9</x:v>
      </x:c>
      <x:c r="L15" s="16" t="n">
        <x:f>K20</x:f>
        <x:v>441.59999999999997</x:v>
      </x:c>
      <x:c r="M15" s="16" t="n">
        <x:f>L20</x:f>
        <x:v>459.29999999999995</x:v>
      </x:c>
      <x:c r="N15" s="16" t="n">
        <x:f>M20</x:f>
        <x:v>476.99999999999994</x:v>
      </x:c>
      <x:c r="O15" s="16" t="n">
        <x:f>N20</x:f>
        <x:v>494.69999999999993</x:v>
      </x:c>
      <x:c r="P15" s="16" t="n">
        <x:f>O20</x:f>
        <x:v>512.4</x:v>
      </x:c>
      <x:c r="Q15" s="16" t="n">
        <x:f>P20</x:f>
        <x:v>530.1</x:v>
      </x:c>
      <x:c r="R15" s="16" t="n">
        <x:f>Q20</x:f>
        <x:v>547.8000000000001</x:v>
      </x:c>
      <x:c r="S15" s="16" t="n">
        <x:f>R20</x:f>
        <x:v>565.5000000000001</x:v>
      </x:c>
    </x:row>
    <x:row r="16">
      <x:c r="B16" s="3" t="str">
        <x:v>Net deposits ($b)</x:v>
      </x:c>
      <x:c r="C16" s="3"/>
      <x:c r="D16" s="3"/>
      <x:c r="E16" s="3"/>
      <x:c r="F16" s="3"/>
      <x:c r="G16" s="3"/>
      <x:c r="H16" s="16" t="n">
        <x:f>'Sources'!H16+'Sources'!I16+'Assumptions'!H240</x:f>
        <x:v>14.399999999999999</x:v>
      </x:c>
      <x:c r="I16" s="16" t="n">
        <x:f>'Assumptions'!I164</x:f>
        <x:v>17.7</x:v>
      </x:c>
      <x:c r="J16" s="16" t="n">
        <x:f>'Assumptions'!J164</x:f>
        <x:v>17.7</x:v>
      </x:c>
      <x:c r="K16" s="16" t="n">
        <x:f>'Assumptions'!K164</x:f>
        <x:v>17.7</x:v>
      </x:c>
      <x:c r="L16" s="16" t="n">
        <x:f>'Assumptions'!L164</x:f>
        <x:v>17.7</x:v>
      </x:c>
      <x:c r="M16" s="16" t="n">
        <x:f>'Assumptions'!M164</x:f>
        <x:v>17.7</x:v>
      </x:c>
      <x:c r="N16" s="16" t="n">
        <x:f>'Assumptions'!N164</x:f>
        <x:v>17.7</x:v>
      </x:c>
      <x:c r="O16" s="16" t="n">
        <x:f>'Assumptions'!O164</x:f>
        <x:v>17.7</x:v>
      </x:c>
      <x:c r="P16" s="16" t="n">
        <x:f>'Assumptions'!P164</x:f>
        <x:v>17.7</x:v>
      </x:c>
      <x:c r="Q16" s="16" t="n">
        <x:f>'Assumptions'!Q164</x:f>
        <x:v>17.7</x:v>
      </x:c>
      <x:c r="R16" s="16" t="n">
        <x:f>'Assumptions'!R164</x:f>
        <x:v>17.7</x:v>
      </x:c>
      <x:c r="S16" s="16" t="n">
        <x:f>'Assumptions'!S164</x:f>
        <x:v>17.7</x:v>
      </x:c>
    </x:row>
    <x:row r="17">
      <x:c r="B17" s="3" t="str">
        <x:v>Market / value change ($b)</x:v>
      </x:c>
      <x:c r="C17" s="3"/>
      <x:c r="D17" s="3"/>
      <x:c r="E17" s="3"/>
      <x:c r="F17" s="3"/>
      <x:c r="G17" s="3"/>
      <x:c r="H17" s="16" t="n">
        <x:f>'Sources'!I15*'Assumptions'!H212</x:f>
        <x:v>0</x:v>
      </x:c>
      <x:c r="I17" s="16" t="n">
        <x:f>I15*'Assumptions'!I12</x:f>
        <x:v>0</x:v>
      </x:c>
      <x:c r="J17" s="16" t="n">
        <x:f>J15*'Assumptions'!J12</x:f>
        <x:v>0</x:v>
      </x:c>
      <x:c r="K17" s="16" t="n">
        <x:f>K15*'Assumptions'!K12</x:f>
        <x:v>0</x:v>
      </x:c>
      <x:c r="L17" s="16" t="n">
        <x:f>L15*'Assumptions'!L12</x:f>
        <x:v>0</x:v>
      </x:c>
      <x:c r="M17" s="16" t="n">
        <x:f>M15*'Assumptions'!M12</x:f>
        <x:v>0</x:v>
      </x:c>
      <x:c r="N17" s="16" t="n">
        <x:f>N15*'Assumptions'!N12</x:f>
        <x:v>0</x:v>
      </x:c>
      <x:c r="O17" s="16" t="n">
        <x:f>O15*'Assumptions'!O12</x:f>
        <x:v>0</x:v>
      </x:c>
      <x:c r="P17" s="16" t="n">
        <x:f>P15*'Assumptions'!P12</x:f>
        <x:v>0</x:v>
      </x:c>
      <x:c r="Q17" s="16" t="n">
        <x:f>Q15*'Assumptions'!Q12</x:f>
        <x:v>0</x:v>
      </x:c>
      <x:c r="R17" s="16" t="n">
        <x:f>R15*'Assumptions'!R12</x:f>
        <x:v>0</x:v>
      </x:c>
      <x:c r="S17" s="16" t="n">
        <x:f>S15*'Assumptions'!S12</x:f>
        <x:v>0</x:v>
      </x:c>
    </x:row>
    <x:row r="18">
      <x:c r="B18" s="3" t="str">
        <x:v>Acquired assets ($b)</x:v>
      </x:c>
      <x:c r="C18" s="3"/>
      <x:c r="D18" s="3"/>
      <x:c r="E18" s="3"/>
      <x:c r="F18" s="3"/>
      <x:c r="G18" s="3"/>
      <x:c r="H18" s="16" t="n">
        <x:f>'Assumptions'!H8</x:f>
        <x:v>0</x:v>
      </x:c>
      <x:c r="I18" s="16" t="n">
        <x:f>'Assumptions'!I8</x:f>
        <x:v>0</x:v>
      </x:c>
      <x:c r="J18" s="16" t="n">
        <x:f>'Assumptions'!J8</x:f>
        <x:v>0</x:v>
      </x:c>
      <x:c r="K18" s="16" t="n">
        <x:f>'Assumptions'!K8</x:f>
        <x:v>0</x:v>
      </x:c>
      <x:c r="L18" s="16" t="n">
        <x:f>'Assumptions'!L8</x:f>
        <x:v>0</x:v>
      </x:c>
      <x:c r="M18" s="16" t="n">
        <x:f>'Assumptions'!M8</x:f>
        <x:v>0</x:v>
      </x:c>
      <x:c r="N18" s="16" t="n">
        <x:f>'Assumptions'!N8</x:f>
        <x:v>0</x:v>
      </x:c>
      <x:c r="O18" s="16" t="n">
        <x:f>'Assumptions'!O8</x:f>
        <x:v>0</x:v>
      </x:c>
      <x:c r="P18" s="16" t="n">
        <x:f>'Assumptions'!P8</x:f>
        <x:v>0</x:v>
      </x:c>
      <x:c r="Q18" s="16" t="n">
        <x:f>'Assumptions'!Q8</x:f>
        <x:v>0</x:v>
      </x:c>
      <x:c r="R18" s="16" t="n">
        <x:f>'Assumptions'!R8</x:f>
        <x:v>0</x:v>
      </x:c>
      <x:c r="S18" s="16" t="n">
        <x:f>'Assumptions'!S8</x:f>
        <x:v>0</x:v>
      </x:c>
    </x:row>
    <x:row r="19">
      <x:c r="B19" s="3" t="str">
        <x:v>Other asset change ($b)</x:v>
      </x:c>
      <x:c r="C19" s="3"/>
      <x:c r="D19" s="3"/>
      <x:c r="E19" s="3"/>
      <x:c r="F19" s="3"/>
      <x:c r="G19" s="3"/>
      <x:c r="H19" s="16" t="n">
        <x:f>'Sources'!I15-H15-'Sources'!H16-'Sources'!I16</x:f>
        <x:v>5.4</x:v>
      </x:c>
      <x:c r="I19" s="16" t="n">
        <x:f>'Assumptions'!I188</x:f>
        <x:v>0</x:v>
      </x:c>
      <x:c r="J19" s="16" t="n">
        <x:f>'Assumptions'!J188</x:f>
        <x:v>0</x:v>
      </x:c>
      <x:c r="K19" s="16" t="n">
        <x:f>'Assumptions'!K188</x:f>
        <x:v>0</x:v>
      </x:c>
      <x:c r="L19" s="16" t="n">
        <x:f>'Assumptions'!L188</x:f>
        <x:v>0</x:v>
      </x:c>
      <x:c r="M19" s="16" t="n">
        <x:f>'Assumptions'!M188</x:f>
        <x:v>0</x:v>
      </x:c>
      <x:c r="N19" s="16" t="n">
        <x:f>'Assumptions'!N188</x:f>
        <x:v>0</x:v>
      </x:c>
      <x:c r="O19" s="16" t="n">
        <x:f>'Assumptions'!O188</x:f>
        <x:v>0</x:v>
      </x:c>
      <x:c r="P19" s="16" t="n">
        <x:f>'Assumptions'!P188</x:f>
        <x:v>0</x:v>
      </x:c>
      <x:c r="Q19" s="16" t="n">
        <x:f>'Assumptions'!Q188</x:f>
        <x:v>0</x:v>
      </x:c>
      <x:c r="R19" s="16" t="n">
        <x:f>'Assumptions'!R188</x:f>
        <x:v>0</x:v>
      </x:c>
      <x:c r="S19" s="16" t="n">
        <x:f>'Assumptions'!S188</x:f>
        <x:v>0</x:v>
      </x:c>
    </x:row>
    <x:row r="20">
      <x:c r="B20" s="13" t="str">
        <x:v>Ending platform assets ($b)</x:v>
      </x:c>
      <x:c r="C20" s="13"/>
      <x:c r="D20" s="13"/>
      <x:c r="E20" s="13"/>
      <x:c r="F20" s="13"/>
      <x:c r="G20" s="13"/>
      <x:c r="H20" s="17" t="n">
        <x:f>SUM(H15,H16:H19)</x:f>
        <x:v>388.5</x:v>
      </x:c>
      <x:c r="I20" s="17" t="n">
        <x:f>SUM(I15,I16:I19)</x:f>
        <x:v>406.2</x:v>
      </x:c>
      <x:c r="J20" s="17" t="n">
        <x:f>SUM(J15,J16:J19)</x:f>
        <x:v>423.9</x:v>
      </x:c>
      <x:c r="K20" s="17" t="n">
        <x:f>SUM(K15,K16:K19)</x:f>
        <x:v>441.59999999999997</x:v>
      </x:c>
      <x:c r="L20" s="17" t="n">
        <x:f>SUM(L15,L16:L19)</x:f>
        <x:v>459.29999999999995</x:v>
      </x:c>
      <x:c r="M20" s="17" t="n">
        <x:f>SUM(M15,M16:M19)</x:f>
        <x:v>476.99999999999994</x:v>
      </x:c>
      <x:c r="N20" s="17" t="n">
        <x:f>SUM(N15,N16:N19)</x:f>
        <x:v>494.69999999999993</x:v>
      </x:c>
      <x:c r="O20" s="17" t="n">
        <x:f>SUM(O15,O16:O19)</x:f>
        <x:v>512.4</x:v>
      </x:c>
      <x:c r="P20" s="17" t="n">
        <x:f>SUM(P15,P16:P19)</x:f>
        <x:v>530.1</x:v>
      </x:c>
      <x:c r="Q20" s="17" t="n">
        <x:f>SUM(Q15,Q16:Q19)</x:f>
        <x:v>547.8000000000001</x:v>
      </x:c>
      <x:c r="R20" s="17" t="n">
        <x:f>SUM(R15,R16:R19)</x:f>
        <x:v>565.5000000000001</x:v>
      </x:c>
      <x:c r="S20" s="17" t="n">
        <x:f>SUM(S15,S16:S19)</x:f>
        <x:v>583.2000000000002</x:v>
      </x:c>
    </x:row>
    <x:row r="21">
      <x:c r="B21" s="3"/>
      <x:c r="C21" s="3"/>
      <x:c r="D21" s="3"/>
      <x:c r="E21" s="3"/>
      <x:c r="F21" s="3"/>
      <x:c r="G21" s="3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</x:row>
    <x:row r="22">
      <x:c r="B22" s="3" t="str">
        <x:v>Options contracts / customer</x:v>
      </x:c>
      <x:c r="C22" s="3"/>
      <x:c r="D22" s="3"/>
      <x:c r="E22" s="3"/>
      <x:c r="F22" s="3"/>
      <x:c r="G22" s="3"/>
      <x:c r="H22" s="16" t="n">
        <x:f>'Assumptions'!H184</x:f>
        <x:v>26.12382246738884</x:v>
      </x:c>
      <x:c r="I22" s="16" t="n">
        <x:f>'Assumptions'!I184</x:f>
        <x:v>26.12382246738884</x:v>
      </x:c>
      <x:c r="J22" s="16" t="n">
        <x:f>'Assumptions'!J184</x:f>
        <x:v>26.12382246738884</x:v>
      </x:c>
      <x:c r="K22" s="16" t="n">
        <x:f>'Assumptions'!K184</x:f>
        <x:v>26.12382246738884</x:v>
      </x:c>
      <x:c r="L22" s="16" t="n">
        <x:f>'Assumptions'!L184</x:f>
        <x:v>26.12382246738884</x:v>
      </x:c>
      <x:c r="M22" s="16" t="n">
        <x:f>'Assumptions'!M184</x:f>
        <x:v>26.12382246738884</x:v>
      </x:c>
      <x:c r="N22" s="16" t="n">
        <x:f>'Assumptions'!N184</x:f>
        <x:v>26.12382246738884</x:v>
      </x:c>
      <x:c r="O22" s="16" t="n">
        <x:f>'Assumptions'!O184</x:f>
        <x:v>26.12382246738884</x:v>
      </x:c>
      <x:c r="P22" s="16" t="n">
        <x:f>'Assumptions'!P184</x:f>
        <x:v>26.12382246738884</x:v>
      </x:c>
      <x:c r="Q22" s="16" t="n">
        <x:f>'Assumptions'!Q184</x:f>
        <x:v>26.12382246738884</x:v>
      </x:c>
      <x:c r="R22" s="16" t="n">
        <x:f>'Assumptions'!R184</x:f>
        <x:v>26.12382246738884</x:v>
      </x:c>
      <x:c r="S22" s="16" t="n">
        <x:f>'Assumptions'!S184</x:f>
        <x:v>26.12382246738884</x:v>
      </x:c>
    </x:row>
    <x:row r="23">
      <x:c r="B23" s="3" t="str">
        <x:v>Options contracts (m)</x:v>
      </x:c>
      <x:c r="C23" s="3"/>
      <x:c r="D23" s="3"/>
      <x:c r="E23" s="3"/>
      <x:c r="F23" s="3"/>
      <x:c r="G23" s="3"/>
      <x:c r="H23" s="16" t="n">
        <x:f>'Sources'!H17+'Sources'!I17+'Assumptions'!H244</x:f>
        <x:v>925.0500000000001</x:v>
      </x:c>
      <x:c r="I23" s="16" t="n">
        <x:f>I13*I22</x:f>
        <x:v>753.6722781841681</x:v>
      </x:c>
      <x:c r="J23" s="16" t="n">
        <x:f>J13*J22</x:f>
        <x:v>761.5094249243849</x:v>
      </x:c>
      <x:c r="K23" s="16" t="n">
        <x:f>K13*K22</x:f>
        <x:v>769.3465716646015</x:v>
      </x:c>
      <x:c r="L23" s="16" t="n">
        <x:f>L13*L22</x:f>
        <x:v>777.1837184048183</x:v>
      </x:c>
      <x:c r="M23" s="16" t="n">
        <x:f>M13*M22</x:f>
        <x:v>785.0208651450348</x:v>
      </x:c>
      <x:c r="N23" s="16" t="n">
        <x:f>N13*N22</x:f>
        <x:v>792.8580118852516</x:v>
      </x:c>
      <x:c r="O23" s="16" t="n">
        <x:f>O13*O22</x:f>
        <x:v>800.6951586254681</x:v>
      </x:c>
      <x:c r="P23" s="16" t="n">
        <x:f>P13*P22</x:f>
        <x:v>808.5323053656849</x:v>
      </x:c>
      <x:c r="Q23" s="16" t="n">
        <x:f>Q13*Q22</x:f>
        <x:v>816.3694521059015</x:v>
      </x:c>
      <x:c r="R23" s="16" t="n">
        <x:f>R13*R22</x:f>
        <x:v>824.2065988461183</x:v>
      </x:c>
      <x:c r="S23" s="16" t="n">
        <x:f>S13*S22</x:f>
        <x:v>832.0437455863348</x:v>
      </x:c>
    </x:row>
    <x:row r="24">
      <x:c r="B24" s="3" t="str">
        <x:v>Revenue / contract ($)</x:v>
      </x:c>
      <x:c r="C24" s="3"/>
      <x:c r="D24" s="3"/>
      <x:c r="E24" s="3"/>
      <x:c r="F24" s="3"/>
      <x:c r="G24" s="3"/>
      <x:c r="H24" s="16" t="n">
        <x:f>'Assumptions'!H180</x:f>
        <x:v>0.4435346298191743</x:v>
      </x:c>
      <x:c r="I24" s="16" t="n">
        <x:f>'Assumptions'!I180</x:f>
        <x:v>0.4435346298191743</x:v>
      </x:c>
      <x:c r="J24" s="16" t="n">
        <x:f>'Assumptions'!J180</x:f>
        <x:v>0.4435346298191743</x:v>
      </x:c>
      <x:c r="K24" s="16" t="n">
        <x:f>'Assumptions'!K180</x:f>
        <x:v>0.4435346298191743</x:v>
      </x:c>
      <x:c r="L24" s="16" t="n">
        <x:f>'Assumptions'!L180</x:f>
        <x:v>0.4435346298191743</x:v>
      </x:c>
      <x:c r="M24" s="16" t="n">
        <x:f>'Assumptions'!M180</x:f>
        <x:v>0.4435346298191743</x:v>
      </x:c>
      <x:c r="N24" s="16" t="n">
        <x:f>'Assumptions'!N180</x:f>
        <x:v>0.4435346298191743</x:v>
      </x:c>
      <x:c r="O24" s="16" t="n">
        <x:f>'Assumptions'!O180</x:f>
        <x:v>0.4435346298191743</x:v>
      </x:c>
      <x:c r="P24" s="16" t="n">
        <x:f>'Assumptions'!P180</x:f>
        <x:v>0.4435346298191743</x:v>
      </x:c>
      <x:c r="Q24" s="16" t="n">
        <x:f>'Assumptions'!Q180</x:f>
        <x:v>0.4435346298191743</x:v>
      </x:c>
      <x:c r="R24" s="16" t="n">
        <x:f>'Assumptions'!R180</x:f>
        <x:v>0.4435346298191743</x:v>
      </x:c>
      <x:c r="S24" s="16" t="n">
        <x:f>'Assumptions'!S180</x:f>
        <x:v>0.4435346298191743</x:v>
      </x:c>
    </x:row>
    <x:row r="25">
      <x:c r="B25" s="13" t="str">
        <x:v>Options revenue ($m)</x:v>
      </x:c>
      <x:c r="C25" s="13"/>
      <x:c r="D25" s="13"/>
      <x:c r="E25" s="13"/>
      <x:c r="F25" s="13"/>
      <x:c r="G25" s="13"/>
      <x:c r="H25" s="17" t="n">
        <x:f>H23*H24</x:f>
        <x:v>410.2917093142272</x:v>
      </x:c>
      <x:c r="I25" s="17" t="n">
        <x:f>I23*I24</x:f>
        <x:v>334.27975490938877</x:v>
      </x:c>
      <x:c r="J25" s="17" t="n">
        <x:f>J23*J24</x:f>
        <x:v>337.75580088764934</x:v>
      </x:c>
      <x:c r="K25" s="17" t="n">
        <x:f>K23*K24</x:f>
        <x:v>341.23184686590986</x:v>
      </x:c>
      <x:c r="L25" s="17" t="n">
        <x:f>L23*L24</x:f>
        <x:v>344.7078928441705</x:v>
      </x:c>
      <x:c r="M25" s="17" t="n">
        <x:f>M23*M24</x:f>
        <x:v>348.18393882243095</x:v>
      </x:c>
      <x:c r="N25" s="17" t="n">
        <x:f>N23*N24</x:f>
        <x:v>351.6599848006916</x:v>
      </x:c>
      <x:c r="O25" s="17" t="n">
        <x:f>O23*O24</x:f>
        <x:v>355.13603077895203</x:v>
      </x:c>
      <x:c r="P25" s="17" t="n">
        <x:f>P23*P24</x:f>
        <x:v>358.61207675721266</x:v>
      </x:c>
      <x:c r="Q25" s="17" t="n">
        <x:f>Q23*Q24</x:f>
        <x:v>362.0881227354732</x:v>
      </x:c>
      <x:c r="R25" s="17" t="n">
        <x:f>R23*R24</x:f>
        <x:v>365.56416871373375</x:v>
      </x:c>
      <x:c r="S25" s="17" t="n">
        <x:f>S23*S24</x:f>
        <x:v>369.04021469199427</x:v>
      </x:c>
    </x:row>
    <x:row r="26">
      <x:c r="B26" s="3"/>
      <x:c r="C26" s="3"/>
      <x:c r="D26" s="3"/>
      <x:c r="E26" s="3"/>
      <x:c r="F26" s="3"/>
      <x:c r="G26" s="3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</x:row>
    <x:row r="27">
      <x:c r="B27" s="3" t="str">
        <x:v>Equity notional / customer</x:v>
      </x:c>
      <x:c r="C27" s="3"/>
      <x:c r="D27" s="3"/>
      <x:c r="E27" s="3"/>
      <x:c r="F27" s="3"/>
      <x:c r="G27" s="3"/>
      <x:c r="H27" s="16" t="n">
        <x:f>'Assumptions'!H108</x:f>
        <x:v>30.32977575248831</x:v>
      </x:c>
      <x:c r="I27" s="16" t="n">
        <x:f>'Assumptions'!I108</x:f>
        <x:v>30.32977575248831</x:v>
      </x:c>
      <x:c r="J27" s="16" t="n">
        <x:f>'Assumptions'!J108</x:f>
        <x:v>30.32977575248831</x:v>
      </x:c>
      <x:c r="K27" s="16" t="n">
        <x:f>'Assumptions'!K108</x:f>
        <x:v>30.32977575248831</x:v>
      </x:c>
      <x:c r="L27" s="16" t="n">
        <x:f>'Assumptions'!L108</x:f>
        <x:v>30.32977575248831</x:v>
      </x:c>
      <x:c r="M27" s="16" t="n">
        <x:f>'Assumptions'!M108</x:f>
        <x:v>30.32977575248831</x:v>
      </x:c>
      <x:c r="N27" s="16" t="n">
        <x:f>'Assumptions'!N108</x:f>
        <x:v>30.32977575248831</x:v>
      </x:c>
      <x:c r="O27" s="16" t="n">
        <x:f>'Assumptions'!O108</x:f>
        <x:v>30.32977575248831</x:v>
      </x:c>
      <x:c r="P27" s="16" t="n">
        <x:f>'Assumptions'!P108</x:f>
        <x:v>30.32977575248831</x:v>
      </x:c>
      <x:c r="Q27" s="16" t="n">
        <x:f>'Assumptions'!Q108</x:f>
        <x:v>30.32977575248831</x:v>
      </x:c>
      <x:c r="R27" s="16" t="n">
        <x:f>'Assumptions'!R108</x:f>
        <x:v>30.32977575248831</x:v>
      </x:c>
      <x:c r="S27" s="16" t="n">
        <x:f>'Assumptions'!S108</x:f>
        <x:v>30.32977575248831</x:v>
      </x:c>
    </x:row>
    <x:row r="28">
      <x:c r="B28" s="3" t="str">
        <x:v>Equity notional ($b)</x:v>
      </x:c>
      <x:c r="C28" s="3"/>
      <x:c r="D28" s="3"/>
      <x:c r="E28" s="3"/>
      <x:c r="F28" s="3"/>
      <x:c r="G28" s="3"/>
      <x:c r="H28" s="16" t="n">
        <x:f>'Sources'!H18+'Sources'!I18+'Assumptions'!H224</x:f>
        <x:v>1002.3000000000001</x:v>
      </x:c>
      <x:c r="I28" s="16" t="n">
        <x:f>I13*I27</x:f>
        <x:v>875.0140304592878</x:v>
      </x:c>
      <x:c r="J28" s="16" t="n">
        <x:f>J13*J27</x:f>
        <x:v>884.1129631850343</x:v>
      </x:c>
      <x:c r="K28" s="16" t="n">
        <x:f>K13*K27</x:f>
        <x:v>893.2118959107808</x:v>
      </x:c>
      <x:c r="L28" s="16" t="n">
        <x:f>L13*L27</x:f>
        <x:v>902.3108286365274</x:v>
      </x:c>
      <x:c r="M28" s="16" t="n">
        <x:f>M13*M27</x:f>
        <x:v>911.4097613622738</x:v>
      </x:c>
      <x:c r="N28" s="16" t="n">
        <x:f>N13*N27</x:f>
        <x:v>920.5086940880204</x:v>
      </x:c>
      <x:c r="O28" s="16" t="n">
        <x:f>O13*O27</x:f>
        <x:v>929.6076268137668</x:v>
      </x:c>
      <x:c r="P28" s="16" t="n">
        <x:f>P13*P27</x:f>
        <x:v>938.7065595395135</x:v>
      </x:c>
      <x:c r="Q28" s="16" t="n">
        <x:f>Q13*Q27</x:f>
        <x:v>947.8054922652599</x:v>
      </x:c>
      <x:c r="R28" s="16" t="n">
        <x:f>R13*R27</x:f>
        <x:v>956.9044249910065</x:v>
      </x:c>
      <x:c r="S28" s="16" t="n">
        <x:f>S13*S27</x:f>
        <x:v>966.0033577167529</x:v>
      </x:c>
    </x:row>
    <x:row r="29">
      <x:c r="B29" s="3" t="str">
        <x:v>Equity realized bps</x:v>
      </x:c>
      <x:c r="C29" s="3"/>
      <x:c r="D29" s="3"/>
      <x:c r="E29" s="3"/>
      <x:c r="F29" s="3"/>
      <x:c r="G29" s="3"/>
      <x:c r="H29" s="16" t="n">
        <x:f>'Assumptions'!H104</x:f>
        <x:v>1.3235708251196845</x:v>
      </x:c>
      <x:c r="I29" s="16" t="n">
        <x:f>'Assumptions'!I104</x:f>
        <x:v>1.3235708251196845</x:v>
      </x:c>
      <x:c r="J29" s="16" t="n">
        <x:f>'Assumptions'!J104</x:f>
        <x:v>1.3235708251196845</x:v>
      </x:c>
      <x:c r="K29" s="16" t="n">
        <x:f>'Assumptions'!K104</x:f>
        <x:v>1.3235708251196845</x:v>
      </x:c>
      <x:c r="L29" s="16" t="n">
        <x:f>'Assumptions'!L104</x:f>
        <x:v>1.3235708251196845</x:v>
      </x:c>
      <x:c r="M29" s="16" t="n">
        <x:f>'Assumptions'!M104</x:f>
        <x:v>1.3235708251196845</x:v>
      </x:c>
      <x:c r="N29" s="16" t="n">
        <x:f>'Assumptions'!N104</x:f>
        <x:v>1.3235708251196845</x:v>
      </x:c>
      <x:c r="O29" s="16" t="n">
        <x:f>'Assumptions'!O104</x:f>
        <x:v>1.3235708251196845</x:v>
      </x:c>
      <x:c r="P29" s="16" t="n">
        <x:f>'Assumptions'!P104</x:f>
        <x:v>1.3235708251196845</x:v>
      </x:c>
      <x:c r="Q29" s="16" t="n">
        <x:f>'Assumptions'!Q104</x:f>
        <x:v>1.3235708251196845</x:v>
      </x:c>
      <x:c r="R29" s="16" t="n">
        <x:f>'Assumptions'!R104</x:f>
        <x:v>1.3235708251196845</x:v>
      </x:c>
      <x:c r="S29" s="16" t="n">
        <x:f>'Assumptions'!S104</x:f>
        <x:v>1.3235708251196845</x:v>
      </x:c>
    </x:row>
    <x:row r="30">
      <x:c r="B30" s="13" t="str">
        <x:v>Equities revenue ($m)</x:v>
      </x:c>
      <x:c r="C30" s="13"/>
      <x:c r="D30" s="13"/>
      <x:c r="E30" s="13"/>
      <x:c r="F30" s="13"/>
      <x:c r="G30" s="13"/>
      <x:c r="H30" s="17" t="n">
        <x:f>H28*H29/10</x:f>
        <x:v>132.661503801746</x:v>
      </x:c>
      <x:c r="I30" s="17" t="n">
        <x:f>I28*I29/10</x:f>
        <x:v>115.81430422863002</x:v>
      </x:c>
      <x:c r="J30" s="17" t="n">
        <x:f>J28*J29/10</x:f>
        <x:v>117.01861241818251</x:v>
      </x:c>
      <x:c r="K30" s="17" t="n">
        <x:f>K28*K29/10</x:f>
        <x:v>118.22292060773498</x:v>
      </x:c>
      <x:c r="L30" s="17" t="n">
        <x:f>L28*L29/10</x:f>
        <x:v>119.42722879728748</x:v>
      </x:c>
      <x:c r="M30" s="17" t="n">
        <x:f>M28*M29/10</x:f>
        <x:v>120.63153698683996</x:v>
      </x:c>
      <x:c r="N30" s="17" t="n">
        <x:f>N28*N29/10</x:f>
        <x:v>121.83584517639244</x:v>
      </x:c>
      <x:c r="O30" s="17" t="n">
        <x:f>O28*O29/10</x:f>
        <x:v>123.04015336594492</x:v>
      </x:c>
      <x:c r="P30" s="17" t="n">
        <x:f>P28*P29/10</x:f>
        <x:v>124.2444615554974</x:v>
      </x:c>
      <x:c r="Q30" s="17" t="n">
        <x:f>Q28*Q29/10</x:f>
        <x:v>125.44876974504987</x:v>
      </x:c>
      <x:c r="R30" s="17" t="n">
        <x:f>R28*R29/10</x:f>
        <x:v>126.65307793460238</x:v>
      </x:c>
      <x:c r="S30" s="17" t="n">
        <x:f>S28*S29/10</x:f>
        <x:v>127.85738612415484</x:v>
      </x:c>
    </x:row>
    <x:row r="31">
      <x:c r="B31" s="3"/>
      <x:c r="C31" s="3"/>
      <x:c r="D31" s="3"/>
      <x:c r="E31" s="3"/>
      <x:c r="F31" s="3"/>
      <x:c r="G31" s="3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</x:row>
    <x:row r="32">
      <x:c r="B32" s="3" t="str">
        <x:v>Crypto App volume / customer</x:v>
      </x:c>
      <x:c r="C32" s="3"/>
      <x:c r="D32" s="3"/>
      <x:c r="E32" s="3"/>
      <x:c r="F32" s="3"/>
      <x:c r="G32" s="3"/>
      <x:c r="H32" s="16" t="n">
        <x:f>'Assumptions'!H80</x:f>
        <x:v>0.6147110332749561</x:v>
      </x:c>
      <x:c r="I32" s="16" t="n">
        <x:f>'Assumptions'!I80</x:f>
        <x:v>0.6147110332749561</x:v>
      </x:c>
      <x:c r="J32" s="16" t="n">
        <x:f>'Assumptions'!J80</x:f>
        <x:v>0.6147110332749561</x:v>
      </x:c>
      <x:c r="K32" s="16" t="n">
        <x:f>'Assumptions'!K80</x:f>
        <x:v>0.6147110332749561</x:v>
      </x:c>
      <x:c r="L32" s="16" t="n">
        <x:f>'Assumptions'!L80</x:f>
        <x:v>0.6147110332749561</x:v>
      </x:c>
      <x:c r="M32" s="16" t="n">
        <x:f>'Assumptions'!M80</x:f>
        <x:v>0.6147110332749561</x:v>
      </x:c>
      <x:c r="N32" s="16" t="n">
        <x:f>'Assumptions'!N80</x:f>
        <x:v>0.6147110332749561</x:v>
      </x:c>
      <x:c r="O32" s="16" t="n">
        <x:f>'Assumptions'!O80</x:f>
        <x:v>0.6147110332749561</x:v>
      </x:c>
      <x:c r="P32" s="16" t="n">
        <x:f>'Assumptions'!P80</x:f>
        <x:v>0.6147110332749561</x:v>
      </x:c>
      <x:c r="Q32" s="16" t="n">
        <x:f>'Assumptions'!Q80</x:f>
        <x:v>0.6147110332749561</x:v>
      </x:c>
      <x:c r="R32" s="16" t="n">
        <x:f>'Assumptions'!R80</x:f>
        <x:v>0.6147110332749561</x:v>
      </x:c>
      <x:c r="S32" s="16" t="n">
        <x:f>'Assumptions'!S80</x:f>
        <x:v>0.6147110332749561</x:v>
      </x:c>
    </x:row>
    <x:row r="33">
      <x:c r="B33" s="3" t="str">
        <x:v>Bitstamp volume / customer</x:v>
      </x:c>
      <x:c r="C33" s="3"/>
      <x:c r="D33" s="3"/>
      <x:c r="E33" s="3"/>
      <x:c r="F33" s="3"/>
      <x:c r="G33" s="3"/>
      <x:c r="H33" s="16" t="n">
        <x:f>'Assumptions'!H84</x:f>
        <x:v>0.8774080560420314</x:v>
      </x:c>
      <x:c r="I33" s="16" t="n">
        <x:f>'Assumptions'!I84</x:f>
        <x:v>0.8774080560420314</x:v>
      </x:c>
      <x:c r="J33" s="16" t="n">
        <x:f>'Assumptions'!J84</x:f>
        <x:v>0.8774080560420314</x:v>
      </x:c>
      <x:c r="K33" s="16" t="n">
        <x:f>'Assumptions'!K84</x:f>
        <x:v>0.8774080560420314</x:v>
      </x:c>
      <x:c r="L33" s="16" t="n">
        <x:f>'Assumptions'!L84</x:f>
        <x:v>0.8774080560420314</x:v>
      </x:c>
      <x:c r="M33" s="16" t="n">
        <x:f>'Assumptions'!M84</x:f>
        <x:v>0.8774080560420314</x:v>
      </x:c>
      <x:c r="N33" s="16" t="n">
        <x:f>'Assumptions'!N84</x:f>
        <x:v>0.8774080560420314</x:v>
      </x:c>
      <x:c r="O33" s="16" t="n">
        <x:f>'Assumptions'!O84</x:f>
        <x:v>0.8774080560420314</x:v>
      </x:c>
      <x:c r="P33" s="16" t="n">
        <x:f>'Assumptions'!P84</x:f>
        <x:v>0.8774080560420314</x:v>
      </x:c>
      <x:c r="Q33" s="16" t="n">
        <x:f>'Assumptions'!Q84</x:f>
        <x:v>0.8774080560420314</x:v>
      </x:c>
      <x:c r="R33" s="16" t="n">
        <x:f>'Assumptions'!R84</x:f>
        <x:v>0.8774080560420314</x:v>
      </x:c>
      <x:c r="S33" s="16" t="n">
        <x:f>'Assumptions'!S84</x:f>
        <x:v>0.8774080560420314</x:v>
      </x:c>
    </x:row>
    <x:row r="34">
      <x:c r="B34" s="3" t="str">
        <x:v>Crypto App volume ($b)</x:v>
      </x:c>
      <x:c r="C34" s="3"/>
      <x:c r="D34" s="3"/>
      <x:c r="E34" s="3"/>
      <x:c r="F34" s="3"/>
      <x:c r="G34" s="3"/>
      <x:c r="H34" s="16" t="n">
        <x:f>'Sources'!H19+'Sources'!I19+'Assumptions'!H216</x:f>
        <x:v>17.549999999999997</x:v>
      </x:c>
      <x:c r="I34" s="16" t="n">
        <x:f>I13*I32</x:f>
        <x:v>17.734413309982486</x:v>
      </x:c>
      <x:c r="J34" s="16" t="n">
        <x:f>J13*J32</x:f>
        <x:v>17.918826619964975</x:v>
      </x:c>
      <x:c r="K34" s="16" t="n">
        <x:f>K13*K32</x:f>
        <x:v>18.10323992994746</x:v>
      </x:c>
      <x:c r="L34" s="16" t="n">
        <x:f>L13*L32</x:f>
        <x:v>18.28765323992995</x:v>
      </x:c>
      <x:c r="M34" s="16" t="n">
        <x:f>M13*M32</x:f>
        <x:v>18.472066549912434</x:v>
      </x:c>
      <x:c r="N34" s="16" t="n">
        <x:f>N13*N32</x:f>
        <x:v>18.656479859894922</x:v>
      </x:c>
      <x:c r="O34" s="16" t="n">
        <x:f>O13*O32</x:f>
        <x:v>18.840893169877408</x:v>
      </x:c>
      <x:c r="P34" s="16" t="n">
        <x:f>P13*P32</x:f>
        <x:v>19.0253064798599</x:v>
      </x:c>
      <x:c r="Q34" s="16" t="n">
        <x:f>Q13*Q32</x:f>
        <x:v>19.209719789842385</x:v>
      </x:c>
      <x:c r="R34" s="16" t="n">
        <x:f>R13*R32</x:f>
        <x:v>19.394133099824874</x:v>
      </x:c>
      <x:c r="S34" s="16" t="n">
        <x:f>S13*S32</x:f>
        <x:v>19.57854640980736</x:v>
      </x:c>
    </x:row>
    <x:row r="35">
      <x:c r="B35" s="3" t="str">
        <x:v>Bitstamp volume ($b)</x:v>
      </x:c>
      <x:c r="C35" s="3"/>
      <x:c r="D35" s="3"/>
      <x:c r="E35" s="3"/>
      <x:c r="F35" s="3"/>
      <x:c r="G35" s="3"/>
      <x:c r="H35" s="16" t="n">
        <x:f>'Sources'!H20+'Sources'!I20+'Assumptions'!H220</x:f>
        <x:v>25.049999999999997</x:v>
      </x:c>
      <x:c r="I35" s="16" t="n">
        <x:f>I13*I33</x:f>
        <x:v>25.313222416812607</x:v>
      </x:c>
      <x:c r="J35" s="16" t="n">
        <x:f>J13*J33</x:f>
        <x:v>25.57644483362522</x:v>
      </x:c>
      <x:c r="K35" s="16" t="n">
        <x:f>K13*K33</x:f>
        <x:v>25.839667250437827</x:v>
      </x:c>
      <x:c r="L35" s="16" t="n">
        <x:f>L13*L33</x:f>
        <x:v>26.10288966725044</x:v>
      </x:c>
      <x:c r="M35" s="16" t="n">
        <x:f>M13*M33</x:f>
        <x:v>26.366112084063047</x:v>
      </x:c>
      <x:c r="N35" s="16" t="n">
        <x:f>N13*N33</x:f>
        <x:v>26.62933450087566</x:v>
      </x:c>
      <x:c r="O35" s="16" t="n">
        <x:f>O13*O33</x:f>
        <x:v>26.892556917688268</x:v>
      </x:c>
      <x:c r="P35" s="16" t="n">
        <x:f>P13*P33</x:f>
        <x:v>27.15577933450088</x:v>
      </x:c>
      <x:c r="Q35" s="16" t="n">
        <x:f>Q13*Q33</x:f>
        <x:v>27.419001751313488</x:v>
      </x:c>
      <x:c r="R35" s="16" t="n">
        <x:f>R13*R33</x:f>
        <x:v>27.6822241681261</x:v>
      </x:c>
      <x:c r="S35" s="16" t="n">
        <x:f>S13*S33</x:f>
        <x:v>27.945446584938708</x:v>
      </x:c>
    </x:row>
    <x:row r="36">
      <x:c r="B36" s="3" t="str">
        <x:v>Total crypto volume ($b)</x:v>
      </x:c>
      <x:c r="C36" s="3"/>
      <x:c r="D36" s="3"/>
      <x:c r="E36" s="3"/>
      <x:c r="F36" s="3"/>
      <x:c r="G36" s="3"/>
      <x:c r="H36" s="16" t="n">
        <x:f>H34+H35</x:f>
        <x:v>42.599999999999994</x:v>
      </x:c>
      <x:c r="I36" s="16" t="n">
        <x:f>I34+I35</x:f>
        <x:v>43.04763572679509</x:v>
      </x:c>
      <x:c r="J36" s="16" t="n">
        <x:f>J34+J35</x:f>
        <x:v>43.49527145359019</x:v>
      </x:c>
      <x:c r="K36" s="16" t="n">
        <x:f>K34+K35</x:f>
        <x:v>43.94290718038529</x:v>
      </x:c>
      <x:c r="L36" s="16" t="n">
        <x:f>L34+L35</x:f>
        <x:v>44.39054290718039</x:v>
      </x:c>
      <x:c r="M36" s="16" t="n">
        <x:f>M34+M35</x:f>
        <x:v>44.83817863397548</x:v>
      </x:c>
      <x:c r="N36" s="16" t="n">
        <x:f>N34+N35</x:f>
        <x:v>45.28581436077059</x:v>
      </x:c>
      <x:c r="O36" s="16" t="n">
        <x:f>O34+O35</x:f>
        <x:v>45.73345008756567</x:v>
      </x:c>
      <x:c r="P36" s="16" t="n">
        <x:f>P34+P35</x:f>
        <x:v>46.181085814360785</x:v>
      </x:c>
      <x:c r="Q36" s="16" t="n">
        <x:f>Q34+Q35</x:f>
        <x:v>46.62872154115587</x:v>
      </x:c>
      <x:c r="R36" s="16" t="n">
        <x:f>R34+R35</x:f>
        <x:v>47.076357267950975</x:v>
      </x:c>
      <x:c r="S36" s="16" t="n">
        <x:f>S34+S35</x:f>
        <x:v>47.52399299474607</x:v>
      </x:c>
    </x:row>
    <x:row r="37">
      <x:c r="B37" s="3" t="str">
        <x:v>Blended crypto bps</x:v>
      </x:c>
      <x:c r="C37" s="3"/>
      <x:c r="D37" s="3"/>
      <x:c r="E37" s="3"/>
      <x:c r="F37" s="3"/>
      <x:c r="G37" s="3"/>
      <x:c r="H37" s="16" t="n">
        <x:f>'Assumptions'!H88</x:f>
        <x:v>24.752475247524753</x:v>
      </x:c>
      <x:c r="I37" s="16" t="n">
        <x:f>'Assumptions'!I88</x:f>
        <x:v>24.752475247524753</x:v>
      </x:c>
      <x:c r="J37" s="16" t="n">
        <x:f>'Assumptions'!J88</x:f>
        <x:v>24.752475247524753</x:v>
      </x:c>
      <x:c r="K37" s="16" t="n">
        <x:f>'Assumptions'!K88</x:f>
        <x:v>24.752475247524753</x:v>
      </x:c>
      <x:c r="L37" s="16" t="n">
        <x:f>'Assumptions'!L88</x:f>
        <x:v>24.752475247524753</x:v>
      </x:c>
      <x:c r="M37" s="16" t="n">
        <x:f>'Assumptions'!M88</x:f>
        <x:v>24.752475247524753</x:v>
      </x:c>
      <x:c r="N37" s="16" t="n">
        <x:f>'Assumptions'!N88</x:f>
        <x:v>24.752475247524753</x:v>
      </x:c>
      <x:c r="O37" s="16" t="n">
        <x:f>'Assumptions'!O88</x:f>
        <x:v>24.752475247524753</x:v>
      </x:c>
      <x:c r="P37" s="16" t="n">
        <x:f>'Assumptions'!P88</x:f>
        <x:v>24.752475247524753</x:v>
      </x:c>
      <x:c r="Q37" s="16" t="n">
        <x:f>'Assumptions'!Q88</x:f>
        <x:v>24.752475247524753</x:v>
      </x:c>
      <x:c r="R37" s="16" t="n">
        <x:f>'Assumptions'!R88</x:f>
        <x:v>24.752475247524753</x:v>
      </x:c>
      <x:c r="S37" s="16" t="n">
        <x:f>'Assumptions'!S88</x:f>
        <x:v>24.752475247524753</x:v>
      </x:c>
    </x:row>
    <x:row r="38">
      <x:c r="B38" s="13" t="str">
        <x:v>Crypto revenue ($m)</x:v>
      </x:c>
      <x:c r="C38" s="13"/>
      <x:c r="D38" s="13"/>
      <x:c r="E38" s="13"/>
      <x:c r="F38" s="13"/>
      <x:c r="G38" s="13"/>
      <x:c r="H38" s="17" t="n">
        <x:f>H36*H37/10</x:f>
        <x:v>105.44554455445544</x:v>
      </x:c>
      <x:c r="I38" s="17" t="n">
        <x:f>I36*I37/10</x:f>
        <x:v>106.55355377919577</x:v>
      </x:c>
      <x:c r="J38" s="17" t="n">
        <x:f>J36*J37/10</x:f>
        <x:v>107.66156300393611</x:v>
      </x:c>
      <x:c r="K38" s="17" t="n">
        <x:f>K36*K37/10</x:f>
        <x:v>108.76957222867648</x:v>
      </x:c>
      <x:c r="L38" s="17" t="n">
        <x:f>L36*L37/10</x:f>
        <x:v>109.87758145341681</x:v>
      </x:c>
      <x:c r="M38" s="17" t="n">
        <x:f>M36*M37/10</x:f>
        <x:v>110.98559067815714</x:v>
      </x:c>
      <x:c r="N38" s="17" t="n">
        <x:f>N36*N37/10</x:f>
        <x:v>112.0935999028975</x:v>
      </x:c>
      <x:c r="O38" s="17" t="n">
        <x:f>O36*O37/10</x:f>
        <x:v>113.20160912763781</x:v>
      </x:c>
      <x:c r="P38" s="17" t="n">
        <x:f>P36*P37/10</x:f>
        <x:v>114.30961835237818</x:v>
      </x:c>
      <x:c r="Q38" s="17" t="n">
        <x:f>Q36*Q37/10</x:f>
        <x:v>115.4176275771185</x:v>
      </x:c>
      <x:c r="R38" s="17" t="n">
        <x:f>R36*R37/10</x:f>
        <x:v>116.52563680185885</x:v>
      </x:c>
      <x:c r="S38" s="17" t="n">
        <x:f>S36*S37/10</x:f>
        <x:v>117.63364602659917</x:v>
      </x:c>
    </x:row>
    <x:row r="39">
      <x:c r="B39" s="3"/>
      <x:c r="C39" s="3"/>
      <x:c r="D39" s="3"/>
      <x:c r="E39" s="3"/>
      <x:c r="F39" s="3"/>
      <x:c r="G39" s="3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</x:row>
    <x:row r="40">
      <x:c r="B40" s="3" t="str">
        <x:v>Event contracts / customer</x:v>
      </x:c>
      <x:c r="C40" s="3"/>
      <x:c r="D40" s="3"/>
      <x:c r="E40" s="3"/>
      <x:c r="F40" s="3"/>
      <x:c r="G40" s="3"/>
      <x:c r="H40" s="16" t="n">
        <x:f>'Assumptions'!H112</x:f>
        <x:v>0.5674255691768827</x:v>
      </x:c>
      <x:c r="I40" s="16" t="n">
        <x:f>'Assumptions'!I112</x:f>
        <x:v>0.5674255691768827</x:v>
      </x:c>
      <x:c r="J40" s="16" t="n">
        <x:f>'Assumptions'!J112</x:f>
        <x:v>0.5674255691768827</x:v>
      </x:c>
      <x:c r="K40" s="16" t="n">
        <x:f>'Assumptions'!K112</x:f>
        <x:v>0.5674255691768827</x:v>
      </x:c>
      <x:c r="L40" s="16" t="n">
        <x:f>'Assumptions'!L112</x:f>
        <x:v>0.5674255691768827</x:v>
      </x:c>
      <x:c r="M40" s="16" t="n">
        <x:f>'Assumptions'!M112</x:f>
        <x:v>0.5674255691768827</x:v>
      </x:c>
      <x:c r="N40" s="16" t="n">
        <x:f>'Assumptions'!N112</x:f>
        <x:v>0.5674255691768827</x:v>
      </x:c>
      <x:c r="O40" s="16" t="n">
        <x:f>'Assumptions'!O112</x:f>
        <x:v>0.5674255691768827</x:v>
      </x:c>
      <x:c r="P40" s="16" t="n">
        <x:f>'Assumptions'!P112</x:f>
        <x:v>0.5674255691768827</x:v>
      </x:c>
      <x:c r="Q40" s="16" t="n">
        <x:f>'Assumptions'!Q112</x:f>
        <x:v>0.5674255691768827</x:v>
      </x:c>
      <x:c r="R40" s="16" t="n">
        <x:f>'Assumptions'!R112</x:f>
        <x:v>0.5674255691768827</x:v>
      </x:c>
      <x:c r="S40" s="16" t="n">
        <x:f>'Assumptions'!S112</x:f>
        <x:v>0.5674255691768827</x:v>
      </x:c>
    </x:row>
    <x:row r="41">
      <x:c r="B41" s="3" t="str">
        <x:v>Event contracts (b)</x:v>
      </x:c>
      <x:c r="C41" s="3"/>
      <x:c r="D41" s="3"/>
      <x:c r="E41" s="3"/>
      <x:c r="F41" s="3"/>
      <x:c r="G41" s="3"/>
      <x:c r="H41" s="16" t="n">
        <x:f>'Sources'!H21+'Sources'!I21+'Assumptions'!H228</x:f>
        <x:v>16.200000000000003</x:v>
      </x:c>
      <x:c r="I41" s="16" t="n">
        <x:f>I13*I40</x:f>
        <x:v>16.370227670753067</x:v>
      </x:c>
      <x:c r="J41" s="16" t="n">
        <x:f>J13*J40</x:f>
        <x:v>16.540455341506135</x:v>
      </x:c>
      <x:c r="K41" s="16" t="n">
        <x:f>K13*K40</x:f>
        <x:v>16.710683012259196</x:v>
      </x:c>
      <x:c r="L41" s="16" t="n">
        <x:f>L13*L40</x:f>
        <x:v>16.880910683012264</x:v>
      </x:c>
      <x:c r="M41" s="16" t="n">
        <x:f>M13*M40</x:f>
        <x:v>17.051138353765328</x:v>
      </x:c>
      <x:c r="N41" s="16" t="n">
        <x:f>N13*N40</x:f>
        <x:v>17.221366024518396</x:v>
      </x:c>
      <x:c r="O41" s="16" t="n">
        <x:f>O13*O40</x:f>
        <x:v>17.391593695271457</x:v>
      </x:c>
      <x:c r="P41" s="16" t="n">
        <x:f>P13*P40</x:f>
        <x:v>17.561821366024525</x:v>
      </x:c>
      <x:c r="Q41" s="16" t="n">
        <x:f>Q13*Q40</x:f>
        <x:v>17.73204903677759</x:v>
      </x:c>
      <x:c r="R41" s="16" t="n">
        <x:f>R13*R40</x:f>
        <x:v>17.902276707530657</x:v>
      </x:c>
      <x:c r="S41" s="16" t="n">
        <x:f>S13*S40</x:f>
        <x:v>18.072504378283718</x:v>
      </x:c>
    </x:row>
    <x:row r="42">
      <x:c r="B42" s="3" t="str">
        <x:v>Revenue / event contract ($)</x:v>
      </x:c>
      <x:c r="C42" s="3"/>
      <x:c r="D42" s="3"/>
      <x:c r="E42" s="3"/>
      <x:c r="F42" s="3"/>
      <x:c r="G42" s="3"/>
      <x:c r="H42" s="16" t="n">
        <x:f>'Assumptions'!H116</x:f>
        <x:v>0.011644385026737968</x:v>
      </x:c>
      <x:c r="I42" s="16" t="n">
        <x:f>'Assumptions'!I116</x:f>
        <x:v>0.011644385026737968</x:v>
      </x:c>
      <x:c r="J42" s="16" t="n">
        <x:f>'Assumptions'!J116</x:f>
        <x:v>0.011644385026737968</x:v>
      </x:c>
      <x:c r="K42" s="16" t="n">
        <x:f>'Assumptions'!K116</x:f>
        <x:v>0.011644385026737968</x:v>
      </x:c>
      <x:c r="L42" s="16" t="n">
        <x:f>'Assumptions'!L116</x:f>
        <x:v>0.011644385026737968</x:v>
      </x:c>
      <x:c r="M42" s="16" t="n">
        <x:f>'Assumptions'!M116</x:f>
        <x:v>0.011644385026737968</x:v>
      </x:c>
      <x:c r="N42" s="16" t="n">
        <x:f>'Assumptions'!N116</x:f>
        <x:v>0.011644385026737968</x:v>
      </x:c>
      <x:c r="O42" s="16" t="n">
        <x:f>'Assumptions'!O116</x:f>
        <x:v>0.011644385026737968</x:v>
      </x:c>
      <x:c r="P42" s="16" t="n">
        <x:f>'Assumptions'!P116</x:f>
        <x:v>0.011644385026737968</x:v>
      </x:c>
      <x:c r="Q42" s="16" t="n">
        <x:f>'Assumptions'!Q116</x:f>
        <x:v>0.011644385026737968</x:v>
      </x:c>
      <x:c r="R42" s="16" t="n">
        <x:f>'Assumptions'!R116</x:f>
        <x:v>0.011644385026737968</x:v>
      </x:c>
      <x:c r="S42" s="16" t="n">
        <x:f>'Assumptions'!S116</x:f>
        <x:v>0.011644385026737968</x:v>
      </x:c>
    </x:row>
    <x:row r="43">
      <x:c r="B43" s="13" t="str">
        <x:v>Event revenue ($m)</x:v>
      </x:c>
      <x:c r="C43" s="13"/>
      <x:c r="D43" s="13"/>
      <x:c r="E43" s="13"/>
      <x:c r="F43" s="13"/>
      <x:c r="G43" s="13"/>
      <x:c r="H43" s="17" t="n">
        <x:f>H41*1000*H42</x:f>
        <x:v>188.63903743315512</x:v>
      </x:c>
      <x:c r="I43" s="17" t="n">
        <x:f>I41*1000*I42</x:f>
        <x:v>190.62123397360858</x:v>
      </x:c>
      <x:c r="J43" s="17" t="n">
        <x:f>J41*1000*J42</x:f>
        <x:v>192.60343051406207</x:v>
      </x:c>
      <x:c r="K43" s="17" t="n">
        <x:f>K41*1000*K42</x:f>
        <x:v>194.5856270545155</x:v>
      </x:c>
      <x:c r="L43" s="17" t="n">
        <x:f>L41*1000*L42</x:f>
        <x:v>196.567823594969</x:v>
      </x:c>
      <x:c r="M43" s="17" t="n">
        <x:f>M41*1000*M42</x:f>
        <x:v>198.55002013542247</x:v>
      </x:c>
      <x:c r="N43" s="17" t="n">
        <x:f>N41*1000*N42</x:f>
        <x:v>200.532216675876</x:v>
      </x:c>
      <x:c r="O43" s="17" t="n">
        <x:f>O41*1000*O42</x:f>
        <x:v>202.51441321632942</x:v>
      </x:c>
      <x:c r="P43" s="17" t="n">
        <x:f>P41*1000*P42</x:f>
        <x:v>204.4966097567829</x:v>
      </x:c>
      <x:c r="Q43" s="17" t="n">
        <x:f>Q41*1000*Q42</x:f>
        <x:v>206.47880629723636</x:v>
      </x:c>
      <x:c r="R43" s="17" t="n">
        <x:f>R41*1000*R42</x:f>
        <x:v>208.46100283768988</x:v>
      </x:c>
      <x:c r="S43" s="17" t="n">
        <x:f>S41*1000*S42</x:f>
        <x:v>210.44319937814328</x:v>
      </x:c>
    </x:row>
    <x:row r="44">
      <x:c r="B44" s="3"/>
      <x:c r="C44" s="3"/>
      <x:c r="D44" s="3"/>
      <x:c r="E44" s="3"/>
      <x:c r="F44" s="3"/>
      <x:c r="G44" s="3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</x:row>
    <x:row r="45">
      <x:c r="B45" s="3" t="str">
        <x:v>Other transaction $ / customer</x:v>
      </x:c>
      <x:c r="C45" s="3"/>
      <x:c r="D45" s="3"/>
      <x:c r="E45" s="3"/>
      <x:c r="F45" s="3"/>
      <x:c r="G45" s="3"/>
      <x:c r="H45" s="16" t="n">
        <x:f>'Assumptions'!H192</x:f>
        <x:v>1.6685773771874342</x:v>
      </x:c>
      <x:c r="I45" s="16" t="n">
        <x:f>'Assumptions'!I192</x:f>
        <x:v>1.6685773771874342</x:v>
      </x:c>
      <x:c r="J45" s="16" t="n">
        <x:f>'Assumptions'!J192</x:f>
        <x:v>1.6685773771874342</x:v>
      </x:c>
      <x:c r="K45" s="16" t="n">
        <x:f>'Assumptions'!K192</x:f>
        <x:v>1.6685773771874342</x:v>
      </x:c>
      <x:c r="L45" s="16" t="n">
        <x:f>'Assumptions'!L192</x:f>
        <x:v>1.6685773771874342</x:v>
      </x:c>
      <x:c r="M45" s="16" t="n">
        <x:f>'Assumptions'!M192</x:f>
        <x:v>1.6685773771874342</x:v>
      </x:c>
      <x:c r="N45" s="16" t="n">
        <x:f>'Assumptions'!N192</x:f>
        <x:v>1.6685773771874342</x:v>
      </x:c>
      <x:c r="O45" s="16" t="n">
        <x:f>'Assumptions'!O192</x:f>
        <x:v>1.6685773771874342</x:v>
      </x:c>
      <x:c r="P45" s="16" t="n">
        <x:f>'Assumptions'!P192</x:f>
        <x:v>1.6685773771874342</x:v>
      </x:c>
      <x:c r="Q45" s="16" t="n">
        <x:f>'Assumptions'!Q192</x:f>
        <x:v>1.6685773771874342</x:v>
      </x:c>
      <x:c r="R45" s="16" t="n">
        <x:f>'Assumptions'!R192</x:f>
        <x:v>1.6685773771874342</x:v>
      </x:c>
      <x:c r="S45" s="16" t="n">
        <x:f>'Assumptions'!S192</x:f>
        <x:v>1.6685773771874342</x:v>
      </x:c>
    </x:row>
    <x:row r="46">
      <x:c r="B46" s="3" t="str">
        <x:v>Other transaction revenue ($m)</x:v>
      </x:c>
      <x:c r="C46" s="3"/>
      <x:c r="D46" s="3"/>
      <x:c r="E46" s="3"/>
      <x:c r="F46" s="3"/>
      <x:c r="G46" s="3"/>
      <x:c r="H46" s="16" t="n">
        <x:f>H13*H45</x:f>
        <x:v>47.637884118701244</x:v>
      </x:c>
      <x:c r="I46" s="16" t="n">
        <x:f>I13*I45</x:f>
        <x:v>48.13845733185748</x:v>
      </x:c>
      <x:c r="J46" s="16" t="n">
        <x:f>J13*J45</x:f>
        <x:v>48.63903054501372</x:v>
      </x:c>
      <x:c r="K46" s="16" t="n">
        <x:f>K13*K45</x:f>
        <x:v>49.13960375816994</x:v>
      </x:c>
      <x:c r="L46" s="16" t="n">
        <x:f>L13*L45</x:f>
        <x:v>49.64017697132618</x:v>
      </x:c>
      <x:c r="M46" s="16" t="n">
        <x:f>M13*M45</x:f>
        <x:v>50.14075018448241</x:v>
      </x:c>
      <x:c r="N46" s="16" t="n">
        <x:f>N13*N45</x:f>
        <x:v>50.641323397638644</x:v>
      </x:c>
      <x:c r="O46" s="16" t="n">
        <x:f>O13*O45</x:f>
        <x:v>51.141896610794866</x:v>
      </x:c>
      <x:c r="P46" s="16" t="n">
        <x:f>P13*P45</x:f>
        <x:v>51.6424698239511</x:v>
      </x:c>
      <x:c r="Q46" s="16" t="n">
        <x:f>Q13*Q45</x:f>
        <x:v>52.143043037107326</x:v>
      </x:c>
      <x:c r="R46" s="16" t="n">
        <x:f>R13*R45</x:f>
        <x:v>52.64361625026357</x:v>
      </x:c>
      <x:c r="S46" s="16" t="n">
        <x:f>S13*S45</x:f>
        <x:v>53.14418946341979</x:v>
      </x:c>
    </x:row>
    <x:row r="47">
      <x:c r="B47" s="13" t="str">
        <x:v>Transaction revenue ($m)</x:v>
      </x:c>
      <x:c r="C47" s="13"/>
      <x:c r="D47" s="13"/>
      <x:c r="E47" s="13"/>
      <x:c r="F47" s="13"/>
      <x:c r="G47" s="13"/>
      <x:c r="H47" s="17" t="n">
        <x:f>SUM(H25,H30,H38,H43,H46)</x:f>
        <x:v>884.6756792222849</x:v>
      </x:c>
      <x:c r="I47" s="17" t="n">
        <x:f>SUM(I25,I30,I38,I43,I46)</x:f>
        <x:v>795.4073042226806</x:v>
      </x:c>
      <x:c r="J47" s="17" t="n">
        <x:f>SUM(J25,J30,J38,J43,J46)</x:f>
        <x:v>803.6784373688438</x:v>
      </x:c>
      <x:c r="K47" s="17" t="n">
        <x:f>SUM(K25,K30,K38,K43,K46)</x:f>
        <x:v>811.9495705150068</x:v>
      </x:c>
      <x:c r="L47" s="17" t="n">
        <x:f>SUM(L25,L30,L38,L43,L46)</x:f>
        <x:v>820.22070366117</x:v>
      </x:c>
      <x:c r="M47" s="17" t="n">
        <x:f>SUM(M25,M30,M38,M43,M46)</x:f>
        <x:v>828.4918368073329</x:v>
      </x:c>
      <x:c r="N47" s="17" t="n">
        <x:f>SUM(N25,N30,N38,N43,N46)</x:f>
        <x:v>836.7629699534962</x:v>
      </x:c>
      <x:c r="O47" s="17" t="n">
        <x:f>SUM(O25,O30,O38,O43,O46)</x:f>
        <x:v>845.0341030996591</x:v>
      </x:c>
      <x:c r="P47" s="17" t="n">
        <x:f>SUM(P25,P30,P38,P43,P46)</x:f>
        <x:v>853.3052362458222</x:v>
      </x:c>
      <x:c r="Q47" s="17" t="n">
        <x:f>SUM(Q25,Q30,Q38,Q43,Q46)</x:f>
        <x:v>861.5763693919853</x:v>
      </x:c>
      <x:c r="R47" s="17" t="n">
        <x:f>SUM(R25,R30,R38,R43,R46)</x:f>
        <x:v>869.8475025381484</x:v>
      </x:c>
      <x:c r="S47" s="17" t="n">
        <x:f>SUM(S25,S30,S38,S43,S46)</x:f>
        <x:v>878.1186356843114</x:v>
      </x:c>
    </x:row>
    <x:row r="48">
      <x:c r="B48" s="3"/>
      <x:c r="C48" s="3"/>
      <x:c r="D48" s="3"/>
      <x:c r="E48" s="3"/>
      <x:c r="F48" s="3"/>
      <x:c r="G48" s="3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</x:row>
    <x:row r="49">
      <x:c r="B49" s="3" t="str">
        <x:v>Margin book end ($b)</x:v>
      </x:c>
      <x:c r="C49" s="3"/>
      <x:c r="D49" s="3"/>
      <x:c r="E49" s="3"/>
      <x:c r="F49" s="3"/>
      <x:c r="G49" s="3"/>
      <x:c r="H49" s="16" t="n">
        <x:f>'Assumptions'!H232</x:f>
        <x:v>21.5</x:v>
      </x:c>
      <x:c r="I49" s="16" t="n">
        <x:f>I12*'Assumptions'!I136</x:f>
        <x:v>21.8006993006993</x:v>
      </x:c>
      <x:c r="J49" s="16" t="n">
        <x:f>J12*'Assumptions'!J136</x:f>
        <x:v>22.026223776223777</x:v>
      </x:c>
      <x:c r="K49" s="16" t="n">
        <x:f>K12*'Assumptions'!K136</x:f>
        <x:v>22.251748251748253</x:v>
      </x:c>
      <x:c r="L49" s="16" t="n">
        <x:f>L12*'Assumptions'!L136</x:f>
        <x:v>22.47727272727273</x:v>
      </x:c>
      <x:c r="M49" s="16" t="n">
        <x:f>M12*'Assumptions'!M136</x:f>
        <x:v>22.702797202797203</x:v>
      </x:c>
      <x:c r="N49" s="16" t="n">
        <x:f>N12*'Assumptions'!N136</x:f>
        <x:v>22.92832167832168</x:v>
      </x:c>
      <x:c r="O49" s="16" t="n">
        <x:f>O12*'Assumptions'!O136</x:f>
        <x:v>23.153846153846157</x:v>
      </x:c>
      <x:c r="P49" s="16" t="n">
        <x:f>P12*'Assumptions'!P136</x:f>
        <x:v>23.379370629370634</x:v>
      </x:c>
      <x:c r="Q49" s="16" t="n">
        <x:f>Q12*'Assumptions'!Q136</x:f>
        <x:v>23.60489510489511</x:v>
      </x:c>
      <x:c r="R49" s="16" t="n">
        <x:f>R12*'Assumptions'!R136</x:f>
        <x:v>23.830419580419584</x:v>
      </x:c>
      <x:c r="S49" s="16" t="n">
        <x:f>S12*'Assumptions'!S136</x:f>
        <x:v>24.05594405594406</x:v>
      </x:c>
    </x:row>
    <x:row r="50">
      <x:c r="B50" s="3" t="str">
        <x:v>Cash / deposits end ($b)</x:v>
      </x:c>
      <x:c r="C50" s="3"/>
      <x:c r="D50" s="3"/>
      <x:c r="E50" s="3"/>
      <x:c r="F50" s="3"/>
      <x:c r="G50" s="3"/>
      <x:c r="H50" s="16" t="n">
        <x:f>('Sources'!I23+'Sources'!I24+'Assumptions'!H240*'Assumptions'!H40)*'Assumptions'!H52</x:f>
        <x:v>20.062992125984255</x:v>
      </x:c>
      <x:c r="I50" s="16" t="n">
        <x:f>(H50+H51+I16*'Assumptions'!I40)*'Assumptions'!I52</x:f>
        <x:v>21.770275590551183</x:v>
      </x:c>
      <x:c r="J50" s="16" t="n">
        <x:f>(I50+I51+J16*'Assumptions'!J40)*'Assumptions'!J52</x:f>
        <x:v>23.47755905511811</x:v>
      </x:c>
      <x:c r="K50" s="16" t="n">
        <x:f>(J50+J51+K16*'Assumptions'!K40)*'Assumptions'!K52</x:f>
        <x:v>25.184842519685038</x:v>
      </x:c>
      <x:c r="L50" s="16" t="n">
        <x:f>(K50+K51+L16*'Assumptions'!L40)*'Assumptions'!L52</x:f>
        <x:v>26.892125984251965</x:v>
      </x:c>
      <x:c r="M50" s="16" t="n">
        <x:f>(L50+L51+M16*'Assumptions'!M40)*'Assumptions'!M52</x:f>
        <x:v>28.599409448818896</x:v>
      </x:c>
      <x:c r="N50" s="16" t="n">
        <x:f>(M50+M51+N16*'Assumptions'!N40)*'Assumptions'!N52</x:f>
        <x:v>30.306692913385824</x:v>
      </x:c>
      <x:c r="O50" s="16" t="n">
        <x:f>(N50+N51+O16*'Assumptions'!O40)*'Assumptions'!O52</x:f>
        <x:v>32.01397637795275</x:v>
      </x:c>
      <x:c r="P50" s="16" t="n">
        <x:f>(O50+O51+P16*'Assumptions'!P40)*'Assumptions'!P52</x:f>
        <x:v>33.72125984251968</x:v>
      </x:c>
      <x:c r="Q50" s="16" t="n">
        <x:f>(P50+P51+Q16*'Assumptions'!Q40)*'Assumptions'!Q52</x:f>
        <x:v>35.428543307086606</x:v>
      </x:c>
      <x:c r="R50" s="16" t="n">
        <x:f>(Q50+Q51+R16*'Assumptions'!R40)*'Assumptions'!R52</x:f>
        <x:v>37.135826771653534</x:v>
      </x:c>
      <x:c r="S50" s="16" t="n">
        <x:f>(R50+R51+S16*'Assumptions'!S40)*'Assumptions'!S52</x:f>
        <x:v>38.84311023622046</x:v>
      </x:c>
    </x:row>
    <x:row r="51">
      <x:c r="B51" s="3" t="str">
        <x:v>Cash Sweep end ($b)</x:v>
      </x:c>
      <x:c r="C51" s="3"/>
      <x:c r="D51" s="3"/>
      <x:c r="E51" s="3"/>
      <x:c r="F51" s="3"/>
      <x:c r="G51" s="3"/>
      <x:c r="H51" s="16" t="n">
        <x:f>('Sources'!I23+'Sources'!I24+'Assumptions'!H240*'Assumptions'!H40)-H50</x:f>
        <x:v>31.937007874015745</x:v>
      </x:c>
      <x:c r="I51" s="16" t="n">
        <x:f>(H50+H51+I16*'Assumptions'!I40)-I50</x:f>
        <x:v>34.65472440944882</x:v>
      </x:c>
      <x:c r="J51" s="16" t="n">
        <x:f>(I50+I51+J16*'Assumptions'!J40)-J50</x:f>
        <x:v>37.37244094488189</x:v>
      </x:c>
      <x:c r="K51" s="16" t="n">
        <x:f>(J50+J51+K16*'Assumptions'!K40)-K50</x:f>
        <x:v>40.09015748031496</x:v>
      </x:c>
      <x:c r="L51" s="16" t="n">
        <x:f>(K50+K51+L16*'Assumptions'!L40)-L50</x:f>
        <x:v>42.80787401574803</x:v>
      </x:c>
      <x:c r="M51" s="16" t="n">
        <x:f>(L50+L51+M16*'Assumptions'!M40)-M50</x:f>
        <x:v>45.52559055118109</x:v>
      </x:c>
      <x:c r="N51" s="16" t="n">
        <x:f>(M50+M51+N16*'Assumptions'!N40)-N50</x:f>
        <x:v>48.24330708661416</x:v>
      </x:c>
      <x:c r="O51" s="16" t="n">
        <x:f>(N50+N51+O16*'Assumptions'!O40)-O50</x:f>
        <x:v>50.96102362204723</x:v>
      </x:c>
      <x:c r="P51" s="16" t="n">
        <x:f>(O50+O51+P16*'Assumptions'!P40)-P50</x:f>
        <x:v>53.6787401574803</x:v>
      </x:c>
      <x:c r="Q51" s="16" t="n">
        <x:f>(P50+P51+Q16*'Assumptions'!Q40)-Q50</x:f>
        <x:v>56.39645669291337</x:v>
      </x:c>
      <x:c r="R51" s="16" t="n">
        <x:f>(Q50+Q51+R16*'Assumptions'!R40)-R50</x:f>
        <x:v>59.11417322834644</x:v>
      </x:c>
      <x:c r="S51" s="16" t="n">
        <x:f>(R50+R51+S16*'Assumptions'!S40)-S50</x:f>
        <x:v>61.83188976377951</x:v>
      </x:c>
    </x:row>
    <x:row r="52">
      <x:c r="B52" s="3" t="str">
        <x:v>Credit average balance ($b)</x:v>
      </x:c>
      <x:c r="C52" s="3"/>
      <x:c r="D52" s="3"/>
      <x:c r="E52" s="3"/>
      <x:c r="F52" s="3"/>
      <x:c r="G52" s="3"/>
      <x:c r="H52" s="16" t="n">
        <x:f>'Sources'!C19*(1+'Assumptions'!H64)</x:f>
        <x:v>1.5490499999999998</x:v>
      </x:c>
      <x:c r="I52" s="16" t="n">
        <x:f>H52*(1+'Assumptions'!I64)</x:f>
        <x:v>1.7659169999999997</x:v>
      </x:c>
      <x:c r="J52" s="16" t="n">
        <x:f>I52*(1+'Assumptions'!J64)</x:f>
        <x:v>1.9954862099999995</x:v>
      </x:c>
      <x:c r="K52" s="16" t="n">
        <x:f>J52*(1+'Assumptions'!K64)</x:f>
        <x:v>2.2349445552</x:v>
      </x:c>
      <x:c r="L52" s="16" t="n">
        <x:f>K52*(1+'Assumptions'!L64)</x:f>
        <x:v>2.4807884562719993</x:v>
      </x:c>
      <x:c r="M52" s="16" t="n">
        <x:f>L52*(1+'Assumptions'!M64)</x:f>
        <x:v>2.7288673018991996</x:v>
      </x:c>
      <x:c r="N52" s="16" t="n">
        <x:f>M52*(1+'Assumptions'!N64)</x:f>
        <x:v>2.9744653590701278</x:v>
      </x:c>
      <x:c r="O52" s="16" t="n">
        <x:f>N52*(1+'Assumptions'!O64)</x:f>
        <x:v>3.2124225877957384</x:v>
      </x:c>
      <x:c r="P52" s="16" t="n">
        <x:f>O52*(1+'Assumptions'!P64)</x:f>
        <x:v>3.43729216894144</x:v>
      </x:c>
      <x:c r="Q52" s="16" t="n">
        <x:f>P52*(1+'Assumptions'!Q64)</x:f>
        <x:v>3.6435296990779267</x:v>
      </x:c>
      <x:c r="R52" s="16" t="n">
        <x:f>Q52*(1+'Assumptions'!R64)</x:f>
        <x:v>3.8257061840318234</x:v>
      </x:c>
      <x:c r="S52" s="16" t="n">
        <x:f>R52*(1+'Assumptions'!S64)</x:f>
        <x:v>4.016991493233415</x:v>
      </x:c>
    </x:row>
    <x:row r="53">
      <x:c r="B53" s="3"/>
      <x:c r="C53" s="3"/>
      <x:c r="D53" s="3"/>
      <x:c r="E53" s="3"/>
      <x:c r="F53" s="3"/>
      <x:c r="G53" s="3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</x:row>
    <x:row r="54">
      <x:c r="B54" s="3" t="str">
        <x:v>Margin average balance ($b)</x:v>
      </x:c>
      <x:c r="C54" s="3"/>
      <x:c r="D54" s="3"/>
      <x:c r="E54" s="3"/>
      <x:c r="F54" s="3"/>
      <x:c r="G54" s="3"/>
      <x:c r="H54" s="16" t="n">
        <x:f>('Sources'!H22+'Sources'!I22+H49)/3</x:f>
        <x:v>21.233333333333334</x:v>
      </x:c>
      <x:c r="I54" s="16" t="n">
        <x:f>(H49+I49)/2</x:f>
        <x:v>21.65034965034965</x:v>
      </x:c>
      <x:c r="J54" s="16" t="n">
        <x:f>(I49+J49)/2</x:f>
        <x:v>21.91346153846154</x:v>
      </x:c>
      <x:c r="K54" s="16" t="n">
        <x:f>(J49+K49)/2</x:f>
        <x:v>22.138986013986013</x:v>
      </x:c>
      <x:c r="L54" s="16" t="n">
        <x:f>(K49+L49)/2</x:f>
        <x:v>22.364510489510494</x:v>
      </x:c>
      <x:c r="M54" s="16" t="n">
        <x:f>(L49+M49)/2</x:f>
        <x:v>22.590034965034967</x:v>
      </x:c>
      <x:c r="N54" s="16" t="n">
        <x:f>(M49+N49)/2</x:f>
        <x:v>22.81555944055944</x:v>
      </x:c>
      <x:c r="O54" s="16" t="n">
        <x:f>(N49+O49)/2</x:f>
        <x:v>23.04108391608392</x:v>
      </x:c>
      <x:c r="P54" s="16" t="n">
        <x:f>(O49+P49)/2</x:f>
        <x:v>23.266608391608393</x:v>
      </x:c>
      <x:c r="Q54" s="16" t="n">
        <x:f>(P49+Q49)/2</x:f>
        <x:v>23.492132867132874</x:v>
      </x:c>
      <x:c r="R54" s="16" t="n">
        <x:f>(Q49+R49)/2</x:f>
        <x:v>23.717657342657347</x:v>
      </x:c>
      <x:c r="S54" s="16" t="n">
        <x:f>(R49+S49)/2</x:f>
        <x:v>23.94318181818182</x:v>
      </x:c>
    </x:row>
    <x:row r="55">
      <x:c r="B55" s="3" t="str">
        <x:v>Cash average balance ($b)</x:v>
      </x:c>
      <x:c r="C55" s="3"/>
      <x:c r="D55" s="3"/>
      <x:c r="E55" s="3"/>
      <x:c r="F55" s="3"/>
      <x:c r="G55" s="3"/>
      <x:c r="H55" s="16" t="n">
        <x:f>('Sources'!H23+'Sources'!I23+H50)/3</x:f>
        <x:v>19.720997375328086</x:v>
      </x:c>
      <x:c r="I55" s="16" t="n">
        <x:f>(H50+I50)/2</x:f>
        <x:v>20.91663385826772</x:v>
      </x:c>
      <x:c r="J55" s="16" t="n">
        <x:f>(I50+J50)/2</x:f>
        <x:v>22.623917322834647</x:v>
      </x:c>
      <x:c r="K55" s="16" t="n">
        <x:f>(J50+K50)/2</x:f>
        <x:v>24.331200787401574</x:v>
      </x:c>
      <x:c r="L55" s="16" t="n">
        <x:f>(K50+L50)/2</x:f>
        <x:v>26.0384842519685</x:v>
      </x:c>
      <x:c r="M55" s="16" t="n">
        <x:f>(L50+M50)/2</x:f>
        <x:v>27.745767716535433</x:v>
      </x:c>
      <x:c r="N55" s="16" t="n">
        <x:f>(M50+N50)/2</x:f>
        <x:v>29.45305118110236</x:v>
      </x:c>
      <x:c r="O55" s="16" t="n">
        <x:f>(N50+O50)/2</x:f>
        <x:v>31.160334645669288</x:v>
      </x:c>
      <x:c r="P55" s="16" t="n">
        <x:f>(O50+P50)/2</x:f>
        <x:v>32.867618110236215</x:v>
      </x:c>
      <x:c r="Q55" s="16" t="n">
        <x:f>(P50+Q50)/2</x:f>
        <x:v>34.57490157480314</x:v>
      </x:c>
      <x:c r="R55" s="16" t="n">
        <x:f>(Q50+R50)/2</x:f>
        <x:v>36.28218503937007</x:v>
      </x:c>
      <x:c r="S55" s="16" t="n">
        <x:f>(R50+S50)/2</x:f>
        <x:v>37.989468503937</x:v>
      </x:c>
    </x:row>
    <x:row r="56">
      <x:c r="B56" s="3" t="str">
        <x:v>Sweep average balance ($b)</x:v>
      </x:c>
      <x:c r="C56" s="3"/>
      <x:c r="D56" s="3"/>
      <x:c r="E56" s="3"/>
      <x:c r="F56" s="3"/>
      <x:c r="G56" s="3"/>
      <x:c r="H56" s="16" t="n">
        <x:f>('Sources'!H24+'Sources'!I24+H51)/3</x:f>
        <x:v>30.779002624671914</x:v>
      </x:c>
      <x:c r="I56" s="16" t="n">
        <x:f>(H51+I51)/2</x:f>
        <x:v>33.29586614173228</x:v>
      </x:c>
      <x:c r="J56" s="16" t="n">
        <x:f>(I51+J51)/2</x:f>
        <x:v>36.01358267716535</x:v>
      </x:c>
      <x:c r="K56" s="16" t="n">
        <x:f>(J51+K51)/2</x:f>
        <x:v>38.73129921259842</x:v>
      </x:c>
      <x:c r="L56" s="16" t="n">
        <x:f>(K51+L51)/2</x:f>
        <x:v>41.44901574803149</x:v>
      </x:c>
      <x:c r="M56" s="16" t="n">
        <x:f>(L51+M51)/2</x:f>
        <x:v>44.166732283464555</x:v>
      </x:c>
      <x:c r="N56" s="16" t="n">
        <x:f>(M51+N51)/2</x:f>
        <x:v>46.884448818897624</x:v>
      </x:c>
      <x:c r="O56" s="16" t="n">
        <x:f>(N51+O51)/2</x:f>
        <x:v>49.602165354330694</x:v>
      </x:c>
      <x:c r="P56" s="16" t="n">
        <x:f>(O51+P51)/2</x:f>
        <x:v>52.319881889763764</x:v>
      </x:c>
      <x:c r="Q56" s="16" t="n">
        <x:f>(P51+Q51)/2</x:f>
        <x:v>55.03759842519683</x:v>
      </x:c>
      <x:c r="R56" s="16" t="n">
        <x:f>(Q51+R51)/2</x:f>
        <x:v>57.7553149606299</x:v>
      </x:c>
      <x:c r="S56" s="16" t="n">
        <x:f>(R51+S51)/2</x:f>
        <x:v>60.47303149606297</x:v>
      </x:c>
    </x:row>
    <x:row r="57">
      <x:c r="B57" s="3" t="str">
        <x:v>Credit average balance ($b)</x:v>
      </x:c>
      <x:c r="C57" s="3"/>
      <x:c r="D57" s="3"/>
      <x:c r="E57" s="3"/>
      <x:c r="F57" s="3"/>
      <x:c r="G57" s="3"/>
      <x:c r="H57" s="16" t="n">
        <x:f>H52</x:f>
        <x:v>1.5490499999999998</x:v>
      </x:c>
      <x:c r="I57" s="16" t="n">
        <x:f>I52</x:f>
        <x:v>1.7659169999999997</x:v>
      </x:c>
      <x:c r="J57" s="16" t="n">
        <x:f>J52</x:f>
        <x:v>1.9954862099999995</x:v>
      </x:c>
      <x:c r="K57" s="16" t="n">
        <x:f>K52</x:f>
        <x:v>2.2349445552</x:v>
      </x:c>
      <x:c r="L57" s="16" t="n">
        <x:f>L52</x:f>
        <x:v>2.4807884562719993</x:v>
      </x:c>
      <x:c r="M57" s="16" t="n">
        <x:f>M52</x:f>
        <x:v>2.7288673018991996</x:v>
      </x:c>
      <x:c r="N57" s="16" t="n">
        <x:f>N52</x:f>
        <x:v>2.9744653590701278</x:v>
      </x:c>
      <x:c r="O57" s="16" t="n">
        <x:f>O52</x:f>
        <x:v>3.2124225877957384</x:v>
      </x:c>
      <x:c r="P57" s="16" t="n">
        <x:f>P52</x:f>
        <x:v>3.43729216894144</x:v>
      </x:c>
      <x:c r="Q57" s="16" t="n">
        <x:f>Q52</x:f>
        <x:v>3.6435296990779267</x:v>
      </x:c>
      <x:c r="R57" s="16" t="n">
        <x:f>R52</x:f>
        <x:v>3.8257061840318234</x:v>
      </x:c>
      <x:c r="S57" s="16" t="n">
        <x:f>S52</x:f>
        <x:v>4.016991493233415</x:v>
      </x:c>
    </x:row>
    <x:row r="58">
      <x:c r="B58" s="3"/>
      <x:c r="C58" s="3"/>
      <x:c r="D58" s="3"/>
      <x:c r="E58" s="3"/>
      <x:c r="F58" s="3"/>
      <x:c r="G58" s="3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</x:row>
    <x:row r="59">
      <x:c r="B59" s="3" t="str">
        <x:v>Margin realized yield (%)</x:v>
      </x:c>
      <x:c r="C59" s="3"/>
      <x:c r="D59" s="3"/>
      <x:c r="E59" s="3"/>
      <x:c r="F59" s="3"/>
      <x:c r="G59" s="3"/>
      <x:c r="H59" s="16" t="n">
        <x:f>'Assumptions'!H144</x:f>
        <x:v>4.730154541816322</x:v>
      </x:c>
      <x:c r="I59" s="16" t="n">
        <x:f>'Assumptions'!I144</x:f>
        <x:v>4.9214045418163215</x:v>
      </x:c>
      <x:c r="J59" s="16" t="n">
        <x:f>'Assumptions'!J144</x:f>
        <x:v>4.878904541816322</x:v>
      </x:c>
      <x:c r="K59" s="16" t="n">
        <x:f>'Assumptions'!K144</x:f>
        <x:v>4.8364045418163215</x:v>
      </x:c>
      <x:c r="L59" s="16" t="n">
        <x:f>'Assumptions'!L144</x:f>
        <x:v>4.793904541816322</x:v>
      </x:c>
      <x:c r="M59" s="16" t="n">
        <x:f>'Assumptions'!M144</x:f>
        <x:v>4.7514045418163215</x:v>
      </x:c>
      <x:c r="N59" s="16" t="n">
        <x:f>'Assumptions'!N144</x:f>
        <x:v>4.687654541816322</x:v>
      </x:c>
      <x:c r="O59" s="16" t="n">
        <x:f>'Assumptions'!O144</x:f>
        <x:v>4.623904541816322</x:v>
      </x:c>
      <x:c r="P59" s="16" t="n">
        <x:f>'Assumptions'!P144</x:f>
        <x:v>4.560154541816321</x:v>
      </x:c>
      <x:c r="Q59" s="16" t="n">
        <x:f>'Assumptions'!Q144</x:f>
        <x:v>4.496404541816322</x:v>
      </x:c>
      <x:c r="R59" s="16" t="n">
        <x:f>'Assumptions'!R144</x:f>
        <x:v>4.411404541816322</x:v>
      </x:c>
      <x:c r="S59" s="16" t="n">
        <x:f>'Assumptions'!S144</x:f>
        <x:v>4.326404541816323</x:v>
      </x:c>
    </x:row>
    <x:row r="60">
      <x:c r="B60" s="3" t="str">
        <x:v>Cash / deposits realized yield (%)</x:v>
      </x:c>
      <x:c r="C60" s="3"/>
      <x:c r="D60" s="3"/>
      <x:c r="E60" s="3"/>
      <x:c r="F60" s="3"/>
      <x:c r="G60" s="3"/>
      <x:c r="H60" s="16" t="n">
        <x:f>'Assumptions'!H48</x:f>
        <x:v>2.095313179487586</x:v>
      </x:c>
      <x:c r="I60" s="16" t="n">
        <x:f>'Assumptions'!I48</x:f>
        <x:v>2.162813179487586</x:v>
      </x:c>
      <x:c r="J60" s="16" t="n">
        <x:f>'Assumptions'!J48</x:f>
        <x:v>2.1478131794875863</x:v>
      </x:c>
      <x:c r="K60" s="16" t="n">
        <x:f>'Assumptions'!K48</x:f>
        <x:v>2.132813179487586</x:v>
      </x:c>
      <x:c r="L60" s="16" t="n">
        <x:f>'Assumptions'!L48</x:f>
        <x:v>2.117813179487586</x:v>
      </x:c>
      <x:c r="M60" s="16" t="n">
        <x:f>'Assumptions'!M48</x:f>
        <x:v>2.1028131794875864</x:v>
      </x:c>
      <x:c r="N60" s="16" t="n">
        <x:f>'Assumptions'!N48</x:f>
        <x:v>2.0803131794875864</x:v>
      </x:c>
      <x:c r="O60" s="16" t="n">
        <x:f>'Assumptions'!O48</x:f>
        <x:v>2.0578131794875865</x:v>
      </x:c>
      <x:c r="P60" s="16" t="n">
        <x:f>'Assumptions'!P48</x:f>
        <x:v>2.035313179487586</x:v>
      </x:c>
      <x:c r="Q60" s="16" t="n">
        <x:f>'Assumptions'!Q48</x:f>
        <x:v>2.012813179487586</x:v>
      </x:c>
      <x:c r="R60" s="16" t="n">
        <x:f>'Assumptions'!R48</x:f>
        <x:v>1.9828131794875863</x:v>
      </x:c>
      <x:c r="S60" s="16" t="n">
        <x:f>'Assumptions'!S48</x:f>
        <x:v>1.9528131794875865</x:v>
      </x:c>
    </x:row>
    <x:row r="61">
      <x:c r="B61" s="3" t="str">
        <x:v>Sweep realized yield (%)</x:v>
      </x:c>
      <x:c r="C61" s="3"/>
      <x:c r="D61" s="3"/>
      <x:c r="E61" s="3"/>
      <x:c r="F61" s="3"/>
      <x:c r="G61" s="3"/>
      <x:c r="H61" s="16" t="n">
        <x:f>'Assumptions'!H60</x:f>
        <x:v>0.5852962169878658</x:v>
      </x:c>
      <x:c r="I61" s="16" t="n">
        <x:f>'Assumptions'!I60</x:f>
        <x:v>0.5852962169878658</x:v>
      </x:c>
      <x:c r="J61" s="16" t="n">
        <x:f>'Assumptions'!J60</x:f>
        <x:v>0.5852962169878658</x:v>
      </x:c>
      <x:c r="K61" s="16" t="n">
        <x:f>'Assumptions'!K60</x:f>
        <x:v>0.5852962169878658</x:v>
      </x:c>
      <x:c r="L61" s="16" t="n">
        <x:f>'Assumptions'!L60</x:f>
        <x:v>0.5852962169878658</x:v>
      </x:c>
      <x:c r="M61" s="16" t="n">
        <x:f>'Assumptions'!M60</x:f>
        <x:v>0.5852962169878658</x:v>
      </x:c>
      <x:c r="N61" s="16" t="n">
        <x:f>'Assumptions'!N60</x:f>
        <x:v>0.5852962169878658</x:v>
      </x:c>
      <x:c r="O61" s="16" t="n">
        <x:f>'Assumptions'!O60</x:f>
        <x:v>0.5852962169878658</x:v>
      </x:c>
      <x:c r="P61" s="16" t="n">
        <x:f>'Assumptions'!P60</x:f>
        <x:v>0.5852962169878658</x:v>
      </x:c>
      <x:c r="Q61" s="16" t="n">
        <x:f>'Assumptions'!Q60</x:f>
        <x:v>0.5852962169878658</x:v>
      </x:c>
      <x:c r="R61" s="16" t="n">
        <x:f>'Assumptions'!R60</x:f>
        <x:v>0.5852962169878658</x:v>
      </x:c>
      <x:c r="S61" s="16" t="n">
        <x:f>'Assumptions'!S60</x:f>
        <x:v>0.5852962169878658</x:v>
      </x:c>
    </x:row>
    <x:row r="62">
      <x:c r="B62" s="3" t="str">
        <x:v>Credit realized yield (%)</x:v>
      </x:c>
      <x:c r="C62" s="3"/>
      <x:c r="D62" s="3"/>
      <x:c r="E62" s="3"/>
      <x:c r="F62" s="3"/>
      <x:c r="G62" s="3"/>
      <x:c r="H62" s="16" t="n">
        <x:f>'Assumptions'!H72</x:f>
        <x:v>11.878247958426131</x:v>
      </x:c>
      <x:c r="I62" s="16" t="n">
        <x:f>'Assumptions'!I72</x:f>
        <x:v>11.878247958426131</x:v>
      </x:c>
      <x:c r="J62" s="16" t="n">
        <x:f>'Assumptions'!J72</x:f>
        <x:v>11.878247958426131</x:v>
      </x:c>
      <x:c r="K62" s="16" t="n">
        <x:f>'Assumptions'!K72</x:f>
        <x:v>11.878247958426131</x:v>
      </x:c>
      <x:c r="L62" s="16" t="n">
        <x:f>'Assumptions'!L72</x:f>
        <x:v>11.878247958426131</x:v>
      </x:c>
      <x:c r="M62" s="16" t="n">
        <x:f>'Assumptions'!M72</x:f>
        <x:v>11.878247958426131</x:v>
      </x:c>
      <x:c r="N62" s="16" t="n">
        <x:f>'Assumptions'!N72</x:f>
        <x:v>11.878247958426131</x:v>
      </x:c>
      <x:c r="O62" s="16" t="n">
        <x:f>'Assumptions'!O72</x:f>
        <x:v>11.878247958426131</x:v>
      </x:c>
      <x:c r="P62" s="16" t="n">
        <x:f>'Assumptions'!P72</x:f>
        <x:v>11.878247958426131</x:v>
      </x:c>
      <x:c r="Q62" s="16" t="n">
        <x:f>'Assumptions'!Q72</x:f>
        <x:v>11.878247958426131</x:v>
      </x:c>
      <x:c r="R62" s="16" t="n">
        <x:f>'Assumptions'!R72</x:f>
        <x:v>11.878247958426131</x:v>
      </x:c>
      <x:c r="S62" s="16" t="n">
        <x:f>'Assumptions'!S72</x:f>
        <x:v>11.878247958426131</x:v>
      </x:c>
    </x:row>
    <x:row r="63">
      <x:c r="B63" s="3"/>
      <x:c r="C63" s="3"/>
      <x:c r="D63" s="3"/>
      <x:c r="E63" s="3"/>
      <x:c r="F63" s="3"/>
      <x:c r="G63" s="3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</x:row>
    <x:row r="64">
      <x:c r="B64" s="3" t="str">
        <x:v>Margin interest revenue ($m)</x:v>
      </x:c>
      <x:c r="C64" s="3"/>
      <x:c r="D64" s="3"/>
      <x:c r="E64" s="3"/>
      <x:c r="F64" s="3"/>
      <x:c r="G64" s="3"/>
      <x:c r="H64" s="16" t="n">
        <x:f>H54*1000*H59/100/4</x:f>
        <x:v>251.09237026141648</x:v>
      </x:c>
      <x:c r="I64" s="16" t="n">
        <x:f>I54*1000*I59/100/4</x:f>
        <x:v>266.3753227528554</x:v>
      </x:c>
      <x:c r="J64" s="16" t="n">
        <x:f>J54*1000*J59/100/4</x:f>
        <x:v>267.28421756729324</x:v>
      </x:c>
      <x:c r="K64" s="16" t="n">
        <x:f>K54*1000*K59/100/4</x:f>
        <x:v>267.68273127312494</x:v>
      </x:c>
      <x:c r="L64" s="16" t="n">
        <x:f>L54*1000*L59/100/4</x:f>
        <x:v>268.0333210279078</x:v>
      </x:c>
      <x:c r="M64" s="16" t="n">
        <x:f>M54*1000*M59/100/4</x:f>
        <x:v>268.33598683164166</x:v>
      </x:c>
      <x:c r="N64" s="16" t="n">
        <x:f>N54*1000*N59/100/4</x:f>
        <x:v>267.3786520890468</x:v>
      </x:c>
      <x:c r="O64" s="16" t="n">
        <x:f>O54*1000*O59/100/4</x:f>
        <x:v>266.3494314198786</x:v>
      </x:c>
      <x:c r="P64" s="16" t="n">
        <x:f>P54*1000*P59/100/4</x:f>
        <x:v>265.2483248241369</x:v>
      </x:c>
      <x:c r="Q64" s="16" t="n">
        <x:f>Q54*1000*Q59/100/4</x:f>
        <x:v>264.07533230182185</x:v>
      </x:c>
      <x:c r="R64" s="16" t="n">
        <x:f>R54*1000*R59/100/4</x:f>
        <x:v>261.57045330660463</x:v>
      </x:c>
      <x:c r="S64" s="16" t="n">
        <x:f>S54*1000*S59/100/4</x:f>
        <x:v>258.96972640928954</x:v>
      </x:c>
    </x:row>
    <x:row r="65">
      <x:c r="B65" s="3" t="str">
        <x:v>Cash / deposits interest ($m)</x:v>
      </x:c>
      <x:c r="C65" s="3"/>
      <x:c r="D65" s="3"/>
      <x:c r="E65" s="3"/>
      <x:c r="F65" s="3"/>
      <x:c r="G65" s="3"/>
      <x:c r="H65" s="16" t="n">
        <x:f>H55*1000*H60/100/4</x:f>
        <x:v>103.3041642829126</x:v>
      </x:c>
      <x:c r="I65" s="16" t="n">
        <x:f>I55*1000*I60/100/4</x:f>
        <x:v>113.09692844794425</x:v>
      </x:c>
      <x:c r="J65" s="16" t="n">
        <x:f>J55*1000*J60/100/4</x:f>
        <x:v>121.47986949405441</x:v>
      </x:c>
      <x:c r="K65" s="16" t="n">
        <x:f>K55*1000*K60/100/4</x:f>
        <x:v>129.73476428032203</x:v>
      </x:c>
      <x:c r="L65" s="16" t="n">
        <x:f>L55*1000*L60/100/4</x:f>
        <x:v>137.86161280674713</x:v>
      </x:c>
      <x:c r="M65" s="16" t="n">
        <x:f>M55*1000*M60/100/4</x:f>
        <x:v>145.86041507332976</x:v>
      </x:c>
      <x:c r="N65" s="16" t="n">
        <x:f>N55*1000*N60/100/4</x:f>
        <x:v>153.17892637042416</x:v>
      </x:c>
      <x:c r="O65" s="16" t="n">
        <x:f>O55*1000*O60/100/4</x:f>
        <x:v>160.30536827775478</x:v>
      </x:c>
      <x:c r="P65" s="16" t="n">
        <x:f>P55*1000*P60/100/4</x:f>
        <x:v>167.2397407953216</x:v>
      </x:c>
      <x:c r="Q65" s="16" t="n">
        <x:f>Q55*1000*Q60/100/4</x:f>
        <x:v>173.98204392312465</x:v>
      </x:c>
      <x:c r="R65" s="16" t="n">
        <x:f>R55*1000*R60/100/4</x:f>
        <x:v>179.85198669167576</x:v>
      </x:c>
      <x:c r="S65" s="16" t="n">
        <x:f>S55*1000*S60/100/4</x:f>
        <x:v>185.4658369405418</x:v>
      </x:c>
    </x:row>
    <x:row r="66">
      <x:c r="B66" s="3" t="str">
        <x:v>Cash Sweep interest ($m)</x:v>
      </x:c>
      <x:c r="C66" s="3"/>
      <x:c r="D66" s="3"/>
      <x:c r="E66" s="3"/>
      <x:c r="F66" s="3"/>
      <x:c r="G66" s="3"/>
      <x:c r="H66" s="16" t="n">
        <x:f>H56*1000*H61/100/4</x:f>
        <x:v>45.037084497200155</x:v>
      </x:c>
      <x:c r="I66" s="16" t="n">
        <x:f>I56*1000*I61/100/4</x:f>
        <x:v>48.71986123522568</x:v>
      </x:c>
      <x:c r="J66" s="16" t="n">
        <x:f>J56*1000*J61/100/4</x:f>
        <x:v>52.696534252811546</x:v>
      </x:c>
      <x:c r="K66" s="16" t="n">
        <x:f>K56*1000*K61/100/4</x:f>
        <x:v>56.673207270397405</x:v>
      </x:c>
      <x:c r="L66" s="16" t="n">
        <x:f>L56*1000*L61/100/4</x:f>
        <x:v>60.64988028798328</x:v>
      </x:c>
      <x:c r="M66" s="16" t="n">
        <x:f>M56*1000*M61/100/4</x:f>
        <x:v>64.62655330556912</x:v>
      </x:c>
      <x:c r="N66" s="16" t="n">
        <x:f>N56*1000*N61/100/4</x:f>
        <x:v>68.60322632315498</x:v>
      </x:c>
      <x:c r="O66" s="16" t="n">
        <x:f>O56*1000*O61/100/4</x:f>
        <x:v>72.57989934074085</x:v>
      </x:c>
      <x:c r="P66" s="16" t="n">
        <x:f>P56*1000*P61/100/4</x:f>
        <x:v>76.5565723583267</x:v>
      </x:c>
      <x:c r="Q66" s="16" t="n">
        <x:f>Q56*1000*Q61/100/4</x:f>
        <x:v>80.53324537591257</x:v>
      </x:c>
      <x:c r="R66" s="16" t="n">
        <x:f>R56*1000*R61/100/4</x:f>
        <x:v>84.50991839349842</x:v>
      </x:c>
      <x:c r="S66" s="16" t="n">
        <x:f>S56*1000*S61/100/4</x:f>
        <x:v>88.48659141108428</x:v>
      </x:c>
    </x:row>
    <x:row r="67">
      <x:c r="B67" s="3" t="str">
        <x:v>Credit card interest ($m)</x:v>
      </x:c>
      <x:c r="C67" s="3"/>
      <x:c r="D67" s="3"/>
      <x:c r="E67" s="3"/>
      <x:c r="F67" s="3"/>
      <x:c r="G67" s="3"/>
      <x:c r="H67" s="16" t="n">
        <x:f>H57*1000*H62/100/4</x:f>
        <x:v>45.99999999999999</x:v>
      </x:c>
      <x:c r="I67" s="16" t="n">
        <x:f>I57*1000*I62/100/4</x:f>
        <x:v>52.43999999999999</x:v>
      </x:c>
      <x:c r="J67" s="16" t="n">
        <x:f>J57*1000*J62/100/4</x:f>
        <x:v>59.25719999999998</x:v>
      </x:c>
      <x:c r="K67" s="16" t="n">
        <x:f>K57*1000*K62/100/4</x:f>
        <x:v>66.36806399999999</x:v>
      </x:c>
      <x:c r="L67" s="16" t="n">
        <x:f>L57*1000*L62/100/4</x:f>
        <x:v>73.66855103999997</x:v>
      </x:c>
      <x:c r="M67" s="16" t="n">
        <x:f>M57*1000*M62/100/4</x:f>
        <x:v>81.03540614399998</x:v>
      </x:c>
      <x:c r="N67" s="16" t="n">
        <x:f>N57*1000*N62/100/4</x:f>
        <x:v>88.32859269695999</x:v>
      </x:c>
      <x:c r="O67" s="16" t="n">
        <x:f>O57*1000*O62/100/4</x:f>
        <x:v>95.3948801127168</x:v>
      </x:c>
      <x:c r="P67" s="16" t="n">
        <x:f>P57*1000*P62/100/4</x:f>
        <x:v>102.07252172060699</x:v>
      </x:c>
      <x:c r="Q67" s="16" t="n">
        <x:f>Q57*1000*Q62/100/4</x:f>
        <x:v>108.1968730238434</x:v>
      </x:c>
      <x:c r="R67" s="16" t="n">
        <x:f>R57*1000*R62/100/4</x:f>
        <x:v>113.60671667503559</x:v>
      </x:c>
      <x:c r="S67" s="16" t="n">
        <x:f>S57*1000*S62/100/4</x:f>
        <x:v>119.28705250878737</x:v>
      </x:c>
    </x:row>
    <x:row r="68">
      <x:c r="B68" s="3" t="str">
        <x:v>Other net interest ($m)</x:v>
      </x:c>
      <x:c r="C68" s="3"/>
      <x:c r="D68" s="3"/>
      <x:c r="E68" s="3"/>
      <x:c r="F68" s="3"/>
      <x:c r="G68" s="3"/>
      <x:c r="H68" s="16" t="n">
        <x:f>'Assumptions'!H132</x:f>
        <x:v>2</x:v>
      </x:c>
      <x:c r="I68" s="16" t="n">
        <x:f>'Assumptions'!I132</x:f>
        <x:v>2</x:v>
      </x:c>
      <x:c r="J68" s="16" t="n">
        <x:f>'Assumptions'!J132</x:f>
        <x:v>2</x:v>
      </x:c>
      <x:c r="K68" s="16" t="n">
        <x:f>'Assumptions'!K132</x:f>
        <x:v>2</x:v>
      </x:c>
      <x:c r="L68" s="16" t="n">
        <x:f>'Assumptions'!L132</x:f>
        <x:v>2</x:v>
      </x:c>
      <x:c r="M68" s="16" t="n">
        <x:f>'Assumptions'!M132</x:f>
        <x:v>2</x:v>
      </x:c>
      <x:c r="N68" s="16" t="n">
        <x:f>'Assumptions'!N132</x:f>
        <x:v>2</x:v>
      </x:c>
      <x:c r="O68" s="16" t="n">
        <x:f>'Assumptions'!O132</x:f>
        <x:v>2</x:v>
      </x:c>
      <x:c r="P68" s="16" t="n">
        <x:f>'Assumptions'!P132</x:f>
        <x:v>2</x:v>
      </x:c>
      <x:c r="Q68" s="16" t="n">
        <x:f>'Assumptions'!Q132</x:f>
        <x:v>2</x:v>
      </x:c>
      <x:c r="R68" s="16" t="n">
        <x:f>'Assumptions'!R132</x:f>
        <x:v>2</x:v>
      </x:c>
      <x:c r="S68" s="16" t="n">
        <x:f>'Assumptions'!S132</x:f>
        <x:v>2</x:v>
      </x:c>
    </x:row>
    <x:row r="69">
      <x:c r="B69" s="13" t="str">
        <x:v>Net interest revenue ($m)</x:v>
      </x:c>
      <x:c r="C69" s="13"/>
      <x:c r="D69" s="13"/>
      <x:c r="E69" s="13"/>
      <x:c r="F69" s="13"/>
      <x:c r="G69" s="13"/>
      <x:c r="H69" s="17" t="n">
        <x:f>SUM(H64:H68)</x:f>
        <x:v>447.43361904152925</x:v>
      </x:c>
      <x:c r="I69" s="17" t="n">
        <x:f>SUM(I64:I68)</x:f>
        <x:v>482.63211243602535</x:v>
      </x:c>
      <x:c r="J69" s="17" t="n">
        <x:f>SUM(J64:J68)</x:f>
        <x:v>502.7178213141592</x:v>
      </x:c>
      <x:c r="K69" s="17" t="n">
        <x:f>SUM(K64:K68)</x:f>
        <x:v>522.4587668238444</x:v>
      </x:c>
      <x:c r="L69" s="17" t="n">
        <x:f>SUM(L64:L68)</x:f>
        <x:v>542.2133651626382</x:v>
      </x:c>
      <x:c r="M69" s="17" t="n">
        <x:f>SUM(M64:M68)</x:f>
        <x:v>561.8583613545405</x:v>
      </x:c>
      <x:c r="N69" s="17" t="n">
        <x:f>SUM(N64:N68)</x:f>
        <x:v>579.4893974795859</x:v>
      </x:c>
      <x:c r="O69" s="17" t="n">
        <x:f>SUM(O64:O68)</x:f>
        <x:v>596.6295791510911</x:v>
      </x:c>
      <x:c r="P69" s="17" t="n">
        <x:f>SUM(P64:P68)</x:f>
        <x:v>613.1171596983922</x:v>
      </x:c>
      <x:c r="Q69" s="17" t="n">
        <x:f>SUM(Q64:Q68)</x:f>
        <x:v>628.7874946247025</x:v>
      </x:c>
      <x:c r="R69" s="17" t="n">
        <x:f>SUM(R64:R68)</x:f>
        <x:v>641.5390750668145</x:v>
      </x:c>
      <x:c r="S69" s="17" t="n">
        <x:f>SUM(S64:S68)</x:f>
        <x:v>654.209207269703</x:v>
      </x:c>
    </x:row>
    <x:row r="70">
      <x:c r="B70" s="3"/>
      <x:c r="C70" s="3"/>
      <x:c r="D70" s="3"/>
      <x:c r="E70" s="3"/>
      <x:c r="F70" s="3"/>
      <x:c r="G70" s="3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</x:row>
    <x:row r="71">
      <x:c r="B71" s="3" t="str">
        <x:v>Gold subscribers end (m)</x:v>
      </x:c>
      <x:c r="C71" s="3"/>
      <x:c r="D71" s="3"/>
      <x:c r="E71" s="3"/>
      <x:c r="F71" s="3"/>
      <x:c r="G71" s="3"/>
      <x:c r="H71" s="16" t="n">
        <x:f>'Sources'!C15+'Assumptions'!H124</x:f>
        <x:v>5</x:v>
      </x:c>
      <x:c r="I71" s="16" t="n">
        <x:f>H71+'Assumptions'!I124</x:f>
        <x:v>5.2</x:v>
      </x:c>
      <x:c r="J71" s="16" t="n">
        <x:f>I71+'Assumptions'!J124</x:f>
        <x:v>5.4</x:v>
      </x:c>
      <x:c r="K71" s="16" t="n">
        <x:f>J71+'Assumptions'!K124</x:f>
        <x:v>5.6000000000000005</x:v>
      </x:c>
      <x:c r="L71" s="16" t="n">
        <x:f>K71+'Assumptions'!L124</x:f>
        <x:v>5.800000000000001</x:v>
      </x:c>
      <x:c r="M71" s="16" t="n">
        <x:f>L71+'Assumptions'!M124</x:f>
        <x:v>6.000000000000001</x:v>
      </x:c>
      <x:c r="N71" s="16" t="n">
        <x:f>M71+'Assumptions'!N124</x:f>
        <x:v>6.200000000000001</x:v>
      </x:c>
      <x:c r="O71" s="16" t="n">
        <x:f>N71+'Assumptions'!O124</x:f>
        <x:v>6.400000000000001</x:v>
      </x:c>
      <x:c r="P71" s="16" t="n">
        <x:f>O71+'Assumptions'!P124</x:f>
        <x:v>6.600000000000001</x:v>
      </x:c>
      <x:c r="Q71" s="16" t="n">
        <x:f>P71+'Assumptions'!Q124</x:f>
        <x:v>6.800000000000002</x:v>
      </x:c>
      <x:c r="R71" s="16" t="n">
        <x:f>Q71+'Assumptions'!R124</x:f>
        <x:v>7.000000000000002</x:v>
      </x:c>
      <x:c r="S71" s="16" t="n">
        <x:f>R71+'Assumptions'!S124</x:f>
        <x:v>7.200000000000002</x:v>
      </x:c>
    </x:row>
    <x:row r="72">
      <x:c r="B72" s="3" t="str">
        <x:v>Gold subscribers average (m)</x:v>
      </x:c>
      <x:c r="C72" s="3"/>
      <x:c r="D72" s="3"/>
      <x:c r="E72" s="3"/>
      <x:c r="F72" s="3"/>
      <x:c r="G72" s="3"/>
      <x:c r="H72" s="16" t="n">
        <x:f>('Sources'!C15+H71)/2</x:f>
        <x:v>4.9</x:v>
      </x:c>
      <x:c r="I72" s="16" t="n">
        <x:f>(H71+I71)/2</x:f>
        <x:v>5.1</x:v>
      </x:c>
      <x:c r="J72" s="16" t="n">
        <x:f>(I71+J71)/2</x:f>
        <x:v>5.300000000000001</x:v>
      </x:c>
      <x:c r="K72" s="16" t="n">
        <x:f>(J71+K71)/2</x:f>
        <x:v>5.5</x:v>
      </x:c>
      <x:c r="L72" s="16" t="n">
        <x:f>(K71+L71)/2</x:f>
        <x:v>5.700000000000001</x:v>
      </x:c>
      <x:c r="M72" s="16" t="n">
        <x:f>(L71+M71)/2</x:f>
        <x:v>5.9</x:v>
      </x:c>
      <x:c r="N72" s="16" t="n">
        <x:f>(M71+N71)/2</x:f>
        <x:v>6.100000000000001</x:v>
      </x:c>
      <x:c r="O72" s="16" t="n">
        <x:f>(N71+O71)/2</x:f>
        <x:v>6.300000000000001</x:v>
      </x:c>
      <x:c r="P72" s="16" t="n">
        <x:f>(O71+P71)/2</x:f>
        <x:v>6.500000000000002</x:v>
      </x:c>
      <x:c r="Q72" s="16" t="n">
        <x:f>(P71+Q71)/2</x:f>
        <x:v>6.700000000000001</x:v>
      </x:c>
      <x:c r="R72" s="16" t="n">
        <x:f>(Q71+R71)/2</x:f>
        <x:v>6.900000000000002</x:v>
      </x:c>
      <x:c r="S72" s="16" t="n">
        <x:f>(R71+S71)/2</x:f>
        <x:v>7.100000000000001</x:v>
      </x:c>
    </x:row>
    <x:row r="73">
      <x:c r="B73" s="3" t="str">
        <x:v>Gold subscription revenue ($m)</x:v>
      </x:c>
      <x:c r="C73" s="3"/>
      <x:c r="D73" s="3"/>
      <x:c r="E73" s="3"/>
      <x:c r="F73" s="3"/>
      <x:c r="G73" s="3"/>
      <x:c r="H73" s="16" t="n">
        <x:f>H72*'Assumptions'!H128</x:f>
        <x:v>57.90045248868779</x:v>
      </x:c>
      <x:c r="I73" s="16" t="n">
        <x:f>I72*'Assumptions'!I128</x:f>
        <x:v>60.26373626373626</x:v>
      </x:c>
      <x:c r="J73" s="16" t="n">
        <x:f>J72*'Assumptions'!J128</x:f>
        <x:v>62.62702003878476</x:v>
      </x:c>
      <x:c r="K73" s="16" t="n">
        <x:f>K72*'Assumptions'!K128</x:f>
        <x:v>64.99030381383324</x:v>
      </x:c>
      <x:c r="L73" s="16" t="n">
        <x:f>L72*'Assumptions'!L128</x:f>
        <x:v>67.35358758888172</x:v>
      </x:c>
      <x:c r="M73" s="16" t="n">
        <x:f>M72*'Assumptions'!M128</x:f>
        <x:v>69.7168713639302</x:v>
      </x:c>
      <x:c r="N73" s="16" t="n">
        <x:f>N72*'Assumptions'!N128</x:f>
        <x:v>72.08015513897868</x:v>
      </x:c>
      <x:c r="O73" s="16" t="n">
        <x:f>O72*'Assumptions'!O128</x:f>
        <x:v>74.44343891402715</x:v>
      </x:c>
      <x:c r="P73" s="16" t="n">
        <x:f>P72*'Assumptions'!P128</x:f>
        <x:v>76.80672268907566</x:v>
      </x:c>
      <x:c r="Q73" s="16" t="n">
        <x:f>Q72*'Assumptions'!Q128</x:f>
        <x:v>79.17000646412413</x:v>
      </x:c>
      <x:c r="R73" s="16" t="n">
        <x:f>R72*'Assumptions'!R128</x:f>
        <x:v>81.53329023917262</x:v>
      </x:c>
      <x:c r="S73" s="16" t="n">
        <x:f>S72*'Assumptions'!S128</x:f>
        <x:v>83.89657401422109</x:v>
      </x:c>
    </x:row>
    <x:row r="74">
      <x:c r="B74" s="3" t="str">
        <x:v>Proxy revenue ($m)</x:v>
      </x:c>
      <x:c r="C74" s="3"/>
      <x:c r="D74" s="3"/>
      <x:c r="E74" s="3"/>
      <x:c r="F74" s="3"/>
      <x:c r="G74" s="3"/>
      <x:c r="H74" s="16" t="n">
        <x:f>'Assumptions'!H200</x:f>
        <x:v>7</x:v>
      </x:c>
      <x:c r="I74" s="16" t="n">
        <x:f>'Assumptions'!I200</x:f>
        <x:v>11</x:v>
      </x:c>
      <x:c r="J74" s="16" t="n">
        <x:f>'Assumptions'!J200</x:f>
        <x:v>8</x:v>
      </x:c>
      <x:c r="K74" s="16" t="n">
        <x:f>'Assumptions'!K200</x:f>
        <x:v>42</x:v>
      </x:c>
      <x:c r="L74" s="16" t="n">
        <x:f>'Assumptions'!L200</x:f>
        <x:v>7</x:v>
      </x:c>
      <x:c r="M74" s="16" t="n">
        <x:f>'Assumptions'!M200</x:f>
        <x:v>11</x:v>
      </x:c>
      <x:c r="N74" s="16" t="n">
        <x:f>'Assumptions'!N200</x:f>
        <x:v>8</x:v>
      </x:c>
      <x:c r="O74" s="16" t="n">
        <x:f>'Assumptions'!O200</x:f>
        <x:v>42</x:v>
      </x:c>
      <x:c r="P74" s="16" t="n">
        <x:f>'Assumptions'!P200</x:f>
        <x:v>7</x:v>
      </x:c>
      <x:c r="Q74" s="16" t="n">
        <x:f>'Assumptions'!Q200</x:f>
        <x:v>11</x:v>
      </x:c>
      <x:c r="R74" s="16" t="n">
        <x:f>'Assumptions'!R200</x:f>
        <x:v>8</x:v>
      </x:c>
      <x:c r="S74" s="16" t="n">
        <x:f>'Assumptions'!S200</x:f>
        <x:v>42</x:v>
      </x:c>
    </x:row>
    <x:row r="75">
      <x:c r="B75" s="3" t="str">
        <x:v>Other residual revenue ($m)</x:v>
      </x:c>
      <x:c r="C75" s="3"/>
      <x:c r="D75" s="3"/>
      <x:c r="E75" s="3"/>
      <x:c r="F75" s="3"/>
      <x:c r="G75" s="3"/>
      <x:c r="H75" s="16" t="n">
        <x:f>'Assumptions'!H204</x:f>
        <x:v>35</x:v>
      </x:c>
      <x:c r="I75" s="16" t="n">
        <x:f>'Assumptions'!I204</x:f>
        <x:v>35</x:v>
      </x:c>
      <x:c r="J75" s="16" t="n">
        <x:f>'Assumptions'!J204</x:f>
        <x:v>35</x:v>
      </x:c>
      <x:c r="K75" s="16" t="n">
        <x:f>'Assumptions'!K204</x:f>
        <x:v>35</x:v>
      </x:c>
      <x:c r="L75" s="16" t="n">
        <x:f>'Assumptions'!L204</x:f>
        <x:v>35</x:v>
      </x:c>
      <x:c r="M75" s="16" t="n">
        <x:f>'Assumptions'!M204</x:f>
        <x:v>35</x:v>
      </x:c>
      <x:c r="N75" s="16" t="n">
        <x:f>'Assumptions'!N204</x:f>
        <x:v>35</x:v>
      </x:c>
      <x:c r="O75" s="16" t="n">
        <x:f>'Assumptions'!O204</x:f>
        <x:v>35</x:v>
      </x:c>
      <x:c r="P75" s="16" t="n">
        <x:f>'Assumptions'!P204</x:f>
        <x:v>35</x:v>
      </x:c>
      <x:c r="Q75" s="16" t="n">
        <x:f>'Assumptions'!Q204</x:f>
        <x:v>35</x:v>
      </x:c>
      <x:c r="R75" s="16" t="n">
        <x:f>'Assumptions'!R204</x:f>
        <x:v>35</x:v>
      </x:c>
      <x:c r="S75" s="16" t="n">
        <x:f>'Assumptions'!S204</x:f>
        <x:v>35</x:v>
      </x:c>
    </x:row>
    <x:row r="76">
      <x:c r="B76" s="13" t="str">
        <x:v>Other revenue ($m)</x:v>
      </x:c>
      <x:c r="C76" s="13"/>
      <x:c r="D76" s="13"/>
      <x:c r="E76" s="13"/>
      <x:c r="F76" s="13"/>
      <x:c r="G76" s="13"/>
      <x:c r="H76" s="17" t="n">
        <x:f>SUM(H73,H74,H75)</x:f>
        <x:v>99.90045248868779</x:v>
      </x:c>
      <x:c r="I76" s="17" t="n">
        <x:f>SUM(I73,I74,I75)</x:f>
        <x:v>106.26373626373626</x:v>
      </x:c>
      <x:c r="J76" s="17" t="n">
        <x:f>SUM(J73,J74,J75)</x:f>
        <x:v>105.62702003878476</x:v>
      </x:c>
      <x:c r="K76" s="17" t="n">
        <x:f>SUM(K73,K74,K75)</x:f>
        <x:v>141.99030381383324</x:v>
      </x:c>
      <x:c r="L76" s="17" t="n">
        <x:f>SUM(L73,L74,L75)</x:f>
        <x:v>109.35358758888172</x:v>
      </x:c>
      <x:c r="M76" s="17" t="n">
        <x:f>SUM(M73,M74,M75)</x:f>
        <x:v>115.7168713639302</x:v>
      </x:c>
      <x:c r="N76" s="17" t="n">
        <x:f>SUM(N73,N74,N75)</x:f>
        <x:v>115.08015513897868</x:v>
      </x:c>
      <x:c r="O76" s="17" t="n">
        <x:f>SUM(O73,O74,O75)</x:f>
        <x:v>151.44343891402715</x:v>
      </x:c>
      <x:c r="P76" s="17" t="n">
        <x:f>SUM(P73,P74,P75)</x:f>
        <x:v>118.80672268907566</x:v>
      </x:c>
      <x:c r="Q76" s="17" t="n">
        <x:f>SUM(Q73,Q74,Q75)</x:f>
        <x:v>125.17000646412413</x:v>
      </x:c>
      <x:c r="R76" s="17" t="n">
        <x:f>SUM(R73,R74,R75)</x:f>
        <x:v>124.53329023917262</x:v>
      </x:c>
      <x:c r="S76" s="17" t="n">
        <x:f>SUM(S73,S74,S75)</x:f>
        <x:v>160.89657401422107</x:v>
      </x:c>
    </x:row>
    <x:row r="77">
      <x:c r="B77" s="3"/>
      <x:c r="C77" s="3"/>
      <x:c r="D77" s="3"/>
      <x:c r="E77" s="3"/>
      <x:c r="F77" s="3"/>
      <x:c r="G77" s="3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</x:row>
    <x:row r="78">
      <x:c r="B78" s="13" t="str">
        <x:v>TOTAL REVENUE ($m)</x:v>
      </x:c>
      <x:c r="C78" s="13"/>
      <x:c r="D78" s="13"/>
      <x:c r="E78" s="13"/>
      <x:c r="F78" s="13"/>
      <x:c r="G78" s="13"/>
      <x:c r="H78" s="17" t="n">
        <x:f>SUM(H47,H69,H76)</x:f>
        <x:v>1432.009750752502</x:v>
      </x:c>
      <x:c r="I78" s="17" t="n">
        <x:f>SUM(I47,I69,I76)</x:f>
        <x:v>1384.3031529224422</x:v>
      </x:c>
      <x:c r="J78" s="17" t="n">
        <x:f>SUM(J47,J69,J76)</x:f>
        <x:v>1412.0232787217878</x:v>
      </x:c>
      <x:c r="K78" s="17" t="n">
        <x:f>SUM(K47,K69,K76)</x:f>
        <x:v>1476.3986411526844</x:v>
      </x:c>
      <x:c r="L78" s="17" t="n">
        <x:f>SUM(L47,L69,L76)</x:f>
        <x:v>1471.7876564126898</x:v>
      </x:c>
      <x:c r="M78" s="17" t="n">
        <x:f>SUM(M47,M69,M76)</x:f>
        <x:v>1506.0670695258036</x:v>
      </x:c>
      <x:c r="N78" s="17" t="n">
        <x:f>SUM(N47,N69,N76)</x:f>
        <x:v>1531.3325225720607</x:v>
      </x:c>
      <x:c r="O78" s="17" t="n">
        <x:f>SUM(O47,O69,O76)</x:f>
        <x:v>1593.1071211647775</x:v>
      </x:c>
      <x:c r="P78" s="17" t="n">
        <x:f>SUM(P47,P69,P76)</x:f>
        <x:v>1585.2291186332902</x:v>
      </x:c>
      <x:c r="Q78" s="17" t="n">
        <x:f>SUM(Q47,Q69,Q76)</x:f>
        <x:v>1615.5338704808119</x:v>
      </x:c>
      <x:c r="R78" s="17" t="n">
        <x:f>SUM(R47,R69,R76)</x:f>
        <x:v>1635.9198678441355</x:v>
      </x:c>
      <x:c r="S78" s="17" t="n">
        <x:f>SUM(S47,S69,S76)</x:f>
        <x:v>1693.2244169682353</x:v>
      </x:c>
    </x:row>
    <x:row r="79">
      <x:c r="B79" s="3"/>
      <x:c r="C79" s="3"/>
      <x:c r="D79" s="3"/>
      <x:c r="E79" s="3"/>
      <x:c r="F79" s="3"/>
      <x:c r="G79" s="3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</x:row>
    <x:row r="80">
      <x:c r="B80" s="3" t="str">
        <x:v>Market activity revenue ($m)</x:v>
      </x:c>
      <x:c r="C80" s="3"/>
      <x:c r="D80" s="3"/>
      <x:c r="E80" s="3"/>
      <x:c r="F80" s="3"/>
      <x:c r="G80" s="3"/>
      <x:c r="H80" s="16" t="n">
        <x:f>SUM(H25,H30,H38,H43)</x:f>
        <x:v>837.0377951035837</x:v>
      </x:c>
      <x:c r="I80" s="16" t="n">
        <x:f>SUM(I25,I30,I38,I43)</x:f>
        <x:v>747.2688468908232</x:v>
      </x:c>
      <x:c r="J80" s="16" t="n">
        <x:f>SUM(J25,J30,J38,J43)</x:f>
        <x:v>755.0394068238301</x:v>
      </x:c>
      <x:c r="K80" s="16" t="n">
        <x:f>SUM(K25,K30,K38,K43)</x:f>
        <x:v>762.8099667568368</x:v>
      </x:c>
      <x:c r="L80" s="16" t="n">
        <x:f>SUM(L25,L30,L38,L43)</x:f>
        <x:v>770.5805266898439</x:v>
      </x:c>
      <x:c r="M80" s="16" t="n">
        <x:f>SUM(M25,M30,M38,M43)</x:f>
        <x:v>778.3510866228505</x:v>
      </x:c>
      <x:c r="N80" s="16" t="n">
        <x:f>SUM(N25,N30,N38,N43)</x:f>
        <x:v>786.1216465558575</x:v>
      </x:c>
      <x:c r="O80" s="16" t="n">
        <x:f>SUM(O25,O30,O38,O43)</x:f>
        <x:v>793.8922064888642</x:v>
      </x:c>
      <x:c r="P80" s="16" t="n">
        <x:f>SUM(P25,P30,P38,P43)</x:f>
        <x:v>801.6627664218711</x:v>
      </x:c>
      <x:c r="Q80" s="16" t="n">
        <x:f>SUM(Q25,Q30,Q38,Q43)</x:f>
        <x:v>809.433326354878</x:v>
      </x:c>
      <x:c r="R80" s="16" t="n">
        <x:f>SUM(R25,R30,R38,R43)</x:f>
        <x:v>817.2038862878849</x:v>
      </x:c>
      <x:c r="S80" s="16" t="n">
        <x:f>SUM(S25,S30,S38,S43)</x:f>
        <x:v>824.9744462208915</x:v>
      </x:c>
    </x:row>
    <x:row r="81">
      <x:c r="B81" s="3" t="str">
        <x:v>Interest / balance revenue ($m)</x:v>
      </x:c>
      <x:c r="C81" s="3"/>
      <x:c r="D81" s="3"/>
      <x:c r="E81" s="3"/>
      <x:c r="F81" s="3"/>
      <x:c r="G81" s="3"/>
      <x:c r="H81" s="16" t="n">
        <x:f>H69</x:f>
        <x:v>447.43361904152925</x:v>
      </x:c>
      <x:c r="I81" s="16" t="n">
        <x:f>I69</x:f>
        <x:v>482.63211243602535</x:v>
      </x:c>
      <x:c r="J81" s="16" t="n">
        <x:f>J69</x:f>
        <x:v>502.7178213141592</x:v>
      </x:c>
      <x:c r="K81" s="16" t="n">
        <x:f>K69</x:f>
        <x:v>522.4587668238444</x:v>
      </x:c>
      <x:c r="L81" s="16" t="n">
        <x:f>L69</x:f>
        <x:v>542.2133651626382</x:v>
      </x:c>
      <x:c r="M81" s="16" t="n">
        <x:f>M69</x:f>
        <x:v>561.8583613545405</x:v>
      </x:c>
      <x:c r="N81" s="16" t="n">
        <x:f>N69</x:f>
        <x:v>579.4893974795859</x:v>
      </x:c>
      <x:c r="O81" s="16" t="n">
        <x:f>O69</x:f>
        <x:v>596.6295791510911</x:v>
      </x:c>
      <x:c r="P81" s="16" t="n">
        <x:f>P69</x:f>
        <x:v>613.1171596983922</x:v>
      </x:c>
      <x:c r="Q81" s="16" t="n">
        <x:f>Q69</x:f>
        <x:v>628.7874946247025</x:v>
      </x:c>
      <x:c r="R81" s="16" t="n">
        <x:f>R69</x:f>
        <x:v>641.5390750668145</x:v>
      </x:c>
      <x:c r="S81" s="16" t="n">
        <x:f>S69</x:f>
        <x:v>654.209207269703</x:v>
      </x:c>
    </x:row>
    <x:row r="82">
      <x:c r="B82" s="3" t="str">
        <x:v>Disclosed recurring revenue ($m)</x:v>
      </x:c>
      <x:c r="C82" s="3"/>
      <x:c r="D82" s="3"/>
      <x:c r="E82" s="3"/>
      <x:c r="F82" s="3"/>
      <x:c r="G82" s="3"/>
      <x:c r="H82" s="16" t="n">
        <x:f>H73</x:f>
        <x:v>57.90045248868779</x:v>
      </x:c>
      <x:c r="I82" s="16" t="n">
        <x:f>I73</x:f>
        <x:v>60.26373626373626</x:v>
      </x:c>
      <x:c r="J82" s="16" t="n">
        <x:f>J73</x:f>
        <x:v>62.62702003878476</x:v>
      </x:c>
      <x:c r="K82" s="16" t="n">
        <x:f>K73</x:f>
        <x:v>64.99030381383324</x:v>
      </x:c>
      <x:c r="L82" s="16" t="n">
        <x:f>L73</x:f>
        <x:v>67.35358758888172</x:v>
      </x:c>
      <x:c r="M82" s="16" t="n">
        <x:f>M73</x:f>
        <x:v>69.7168713639302</x:v>
      </x:c>
      <x:c r="N82" s="16" t="n">
        <x:f>N73</x:f>
        <x:v>72.08015513897868</x:v>
      </x:c>
      <x:c r="O82" s="16" t="n">
        <x:f>O73</x:f>
        <x:v>74.44343891402715</x:v>
      </x:c>
      <x:c r="P82" s="16" t="n">
        <x:f>P73</x:f>
        <x:v>76.80672268907566</x:v>
      </x:c>
      <x:c r="Q82" s="16" t="n">
        <x:f>Q73</x:f>
        <x:v>79.17000646412413</x:v>
      </x:c>
      <x:c r="R82" s="16" t="n">
        <x:f>R73</x:f>
        <x:v>81.53329023917262</x:v>
      </x:c>
      <x:c r="S82" s="16" t="n">
        <x:f>S73</x:f>
        <x:v>83.89657401422109</x:v>
      </x:c>
    </x:row>
    <x:row r="83">
      <x:c r="B83" s="3" t="str">
        <x:v>Unclassified revenue ($m)</x:v>
      </x:c>
      <x:c r="C83" s="3"/>
      <x:c r="D83" s="3"/>
      <x:c r="E83" s="3"/>
      <x:c r="F83" s="3"/>
      <x:c r="G83" s="3"/>
      <x:c r="H83" s="16" t="n">
        <x:f>SUM(H46,H74,H75)</x:f>
        <x:v>89.63788411870124</x:v>
      </x:c>
      <x:c r="I83" s="16" t="n">
        <x:f>SUM(I46,I74,I75)</x:f>
        <x:v>94.13845733185748</x:v>
      </x:c>
      <x:c r="J83" s="16" t="n">
        <x:f>SUM(J46,J74,J75)</x:f>
        <x:v>91.63903054501372</x:v>
      </x:c>
      <x:c r="K83" s="16" t="n">
        <x:f>SUM(K46,K74,K75)</x:f>
        <x:v>126.13960375816994</x:v>
      </x:c>
      <x:c r="L83" s="16" t="n">
        <x:f>SUM(L46,L74,L75)</x:f>
        <x:v>91.64017697132618</x:v>
      </x:c>
      <x:c r="M83" s="16" t="n">
        <x:f>SUM(M46,M74,M75)</x:f>
        <x:v>96.14075018448241</x:v>
      </x:c>
      <x:c r="N83" s="16" t="n">
        <x:f>SUM(N46,N74,N75)</x:f>
        <x:v>93.64132339763864</x:v>
      </x:c>
      <x:c r="O83" s="16" t="n">
        <x:f>SUM(O46,O74,O75)</x:f>
        <x:v>128.14189661079487</x:v>
      </x:c>
      <x:c r="P83" s="16" t="n">
        <x:f>SUM(P46,P74,P75)</x:f>
        <x:v>93.6424698239511</x:v>
      </x:c>
      <x:c r="Q83" s="16" t="n">
        <x:f>SUM(Q46,Q74,Q75)</x:f>
        <x:v>98.14304303710733</x:v>
      </x:c>
      <x:c r="R83" s="16" t="n">
        <x:f>SUM(R46,R74,R75)</x:f>
        <x:v>95.64361625026356</x:v>
      </x:c>
      <x:c r="S83" s="16" t="n">
        <x:f>SUM(S46,S74,S75)</x:f>
        <x:v>130.1441894634198</x:v>
      </x:c>
    </x:row>
    <x:row r="84">
      <x:c r="B84" s="3"/>
      <x:c r="C84" s="3"/>
      <x:c r="D84" s="3"/>
      <x:c r="E84" s="3"/>
      <x:c r="F84" s="3"/>
      <x:c r="G84" s="3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</x:row>
    <x:row r="85">
      <x:c r="B85" s="3" t="str">
        <x:v>Platform assets / customer ($)</x:v>
      </x:c>
      <x:c r="C85" s="3"/>
      <x:c r="D85" s="3"/>
      <x:c r="E85" s="3"/>
      <x:c r="F85" s="3"/>
      <x:c r="G85" s="3"/>
      <x:c r="H85" s="16" t="n">
        <x:f>1000*H20/H12</x:f>
        <x:v>13536.585365853658</x:v>
      </x:c>
      <x:c r="I85" s="16" t="n">
        <x:f>1000*I20/I12</x:f>
        <x:v>14006.896551724136</x:v>
      </x:c>
      <x:c r="J85" s="16" t="n">
        <x:f>1000*J20/J12</x:f>
        <x:v>14467.576791808871</x:v>
      </x:c>
      <x:c r="K85" s="16" t="n">
        <x:f>1000*K20/K12</x:f>
        <x:v>14918.918918918915</x:v>
      </x:c>
      <x:c r="L85" s="16" t="n">
        <x:f>1000*L20/L12</x:f>
        <x:v>15361.204013377921</x:v>
      </x:c>
      <x:c r="M85" s="16" t="n">
        <x:f>1000*M20/M12</x:f>
        <x:v>15794.701986754962</x:v>
      </x:c>
      <x:c r="N85" s="16" t="n">
        <x:f>1000*N20/N12</x:f>
        <x:v>16219.672131147536</x:v>
      </x:c>
      <x:c r="O85" s="16" t="n">
        <x:f>1000*O20/O12</x:f>
        <x:v>16636.363636363632</x:v>
      </x:c>
      <x:c r="P85" s="16" t="n">
        <x:f>1000*P20/P12</x:f>
        <x:v>17045.016077170414</x:v>
      </x:c>
      <x:c r="Q85" s="16" t="n">
        <x:f>1000*Q20/Q12</x:f>
        <x:v>17445.859872611465</x:v>
      </x:c>
      <x:c r="R85" s="16" t="n">
        <x:f>1000*R20/R12</x:f>
        <x:v>17839.116719242902</x:v>
      </x:c>
      <x:c r="S85" s="16" t="n">
        <x:f>1000*S20/S12</x:f>
        <x:v>18225</x:v>
      </x:c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Six-category operating expense build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Case Selected:</x:v>
      </x:c>
      <x:c r="C4" s="15" t="str">
        <x:f>CHOOSE('Assumptions'!$D$4,"Base","Upside","Downside")</x:f>
        <x:v>Base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 t="str">
        <x:v>USD millions unless labeled</x:v>
      </x:c>
      <x:c r="C7" s="6"/>
      <x:c r="D7" s="6"/>
      <x:c r="E7" s="6"/>
      <x:c r="F7" s="6"/>
      <x:c r="G7" s="6"/>
      <x:c r="H7" s="6" t="str">
        <x:v>2026Q3</x:v>
      </x:c>
      <x:c r="I7" s="6" t="str">
        <x:v>2026Q4</x:v>
      </x:c>
      <x:c r="J7" s="6" t="str">
        <x:v>2027Q1</x:v>
      </x:c>
      <x:c r="K7" s="6" t="str">
        <x:v>2027Q2</x:v>
      </x:c>
      <x:c r="L7" s="6" t="str">
        <x:v>2027Q3</x:v>
      </x:c>
      <x:c r="M7" s="6" t="str">
        <x:v>2027Q4</x:v>
      </x:c>
      <x:c r="N7" s="6" t="str">
        <x:v>2028Q1</x:v>
      </x:c>
      <x:c r="O7" s="6" t="str">
        <x:v>2028Q2</x:v>
      </x:c>
      <x:c r="P7" s="6" t="str">
        <x:v>2028Q3</x:v>
      </x:c>
      <x:c r="Q7" s="6" t="str">
        <x:v>2028Q4</x:v>
      </x:c>
      <x:c r="R7" s="6" t="str">
        <x:v>2029Q1</x:v>
      </x:c>
      <x:c r="S7" s="6" t="str">
        <x:v>2029Q2</x:v>
      </x:c>
    </x:row>
    <x:row r="8">
      <x:c r="B8" s="3"/>
      <x:c r="C8" s="3"/>
      <x:c r="D8" s="3"/>
      <x:c r="E8" s="3"/>
      <x:c r="F8" s="3"/>
      <x:c r="G8" s="3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</x:row>
    <x:row r="9">
      <x:c r="B9" s="3"/>
      <x:c r="C9" s="3"/>
      <x:c r="D9" s="3"/>
      <x:c r="E9" s="3"/>
      <x:c r="F9" s="3"/>
      <x:c r="G9" s="3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</x:row>
    <x:row r="10">
      <x:c r="B10" s="3" t="str">
        <x:v>Trading activity index (Q2=1)</x:v>
      </x:c>
      <x:c r="C10" s="3"/>
      <x:c r="D10" s="3"/>
      <x:c r="E10" s="3"/>
      <x:c r="F10" s="3"/>
      <x:c r="G10" s="3"/>
      <x:c r="H10" s="16" t="n">
        <x:f>'Assumptions'!H32*'Revenue Drivers'!H23/'Sources'!C20+'Assumptions'!H20*'Revenue Drivers'!H28/'Sources'!C21+'Assumptions'!H16*'Revenue Drivers'!H36/'Sources'!C22+'Assumptions'!H24*'Revenue Drivers'!H41/'Sources'!C23</x:f>
        <x:v>1.1298539346154537</x:v>
      </x:c>
      <x:c r="I10" s="16" t="n">
        <x:f>'Assumptions'!I32*'Revenue Drivers'!I23/'Sources'!C20+'Assumptions'!I20*'Revenue Drivers'!I28/'Sources'!C21+'Assumptions'!I16*'Revenue Drivers'!I36/'Sources'!C22+'Assumptions'!I24*'Revenue Drivers'!I41/'Sources'!C23</x:f>
        <x:v>1.0120756767884347</x:v>
      </x:c>
      <x:c r="J10" s="16" t="n">
        <x:f>'Assumptions'!J32*'Revenue Drivers'!J23/'Sources'!C20+'Assumptions'!J20*'Revenue Drivers'!J28/'Sources'!C21+'Assumptions'!J16*'Revenue Drivers'!J36/'Sources'!C22+'Assumptions'!J24*'Revenue Drivers'!J41/'Sources'!C23</x:f>
        <x:v>1.0225998606025257</x:v>
      </x:c>
      <x:c r="K10" s="16" t="n">
        <x:f>'Assumptions'!K32*'Revenue Drivers'!K23/'Sources'!C20+'Assumptions'!K20*'Revenue Drivers'!K28/'Sources'!C21+'Assumptions'!K16*'Revenue Drivers'!K36/'Sources'!C22+'Assumptions'!K24*'Revenue Drivers'!K41/'Sources'!C23</x:f>
        <x:v>1.033124044416617</x:v>
      </x:c>
      <x:c r="L10" s="16" t="n">
        <x:f>'Assumptions'!L32*'Revenue Drivers'!L23/'Sources'!C20+'Assumptions'!L20*'Revenue Drivers'!L28/'Sources'!C21+'Assumptions'!L16*'Revenue Drivers'!L36/'Sources'!C22+'Assumptions'!L24*'Revenue Drivers'!L41/'Sources'!C23</x:f>
        <x:v>1.0436482282307082</x:v>
      </x:c>
      <x:c r="M10" s="16" t="n">
        <x:f>'Assumptions'!M32*'Revenue Drivers'!M23/'Sources'!C20+'Assumptions'!M20*'Revenue Drivers'!M28/'Sources'!C21+'Assumptions'!M16*'Revenue Drivers'!M36/'Sources'!C22+'Assumptions'!M24*'Revenue Drivers'!M41/'Sources'!C23</x:f>
        <x:v>1.0541724120447993</x:v>
      </x:c>
      <x:c r="N10" s="16" t="n">
        <x:f>'Assumptions'!N32*'Revenue Drivers'!N23/'Sources'!C20+'Assumptions'!N20*'Revenue Drivers'!N28/'Sources'!C21+'Assumptions'!N16*'Revenue Drivers'!N36/'Sources'!C22+'Assumptions'!N24*'Revenue Drivers'!N41/'Sources'!C23</x:f>
        <x:v>1.0646965958588908</x:v>
      </x:c>
      <x:c r="O10" s="16" t="n">
        <x:f>'Assumptions'!O32*'Revenue Drivers'!O23/'Sources'!C20+'Assumptions'!O20*'Revenue Drivers'!O28/'Sources'!C21+'Assumptions'!O16*'Revenue Drivers'!O36/'Sources'!C22+'Assumptions'!O24*'Revenue Drivers'!O41/'Sources'!C23</x:f>
        <x:v>1.0752207796729818</x:v>
      </x:c>
      <x:c r="P10" s="16" t="n">
        <x:f>'Assumptions'!P32*'Revenue Drivers'!P23/'Sources'!C20+'Assumptions'!P20*'Revenue Drivers'!P28/'Sources'!C21+'Assumptions'!P16*'Revenue Drivers'!P36/'Sources'!C22+'Assumptions'!P24*'Revenue Drivers'!P41/'Sources'!C23</x:f>
        <x:v>1.0857449634870733</x:v>
      </x:c>
      <x:c r="Q10" s="16" t="n">
        <x:f>'Assumptions'!Q32*'Revenue Drivers'!Q23/'Sources'!C20+'Assumptions'!Q20*'Revenue Drivers'!Q28/'Sources'!C21+'Assumptions'!Q16*'Revenue Drivers'!Q36/'Sources'!C22+'Assumptions'!Q24*'Revenue Drivers'!Q41/'Sources'!C23</x:f>
        <x:v>1.096269147301164</x:v>
      </x:c>
      <x:c r="R10" s="16" t="n">
        <x:f>'Assumptions'!R32*'Revenue Drivers'!R23/'Sources'!C20+'Assumptions'!R20*'Revenue Drivers'!R28/'Sources'!C21+'Assumptions'!R16*'Revenue Drivers'!R36/'Sources'!C22+'Assumptions'!R24*'Revenue Drivers'!R41/'Sources'!C23</x:f>
        <x:v>1.1067933311152556</x:v>
      </x:c>
      <x:c r="S10" s="16" t="n">
        <x:f>'Assumptions'!S32*'Revenue Drivers'!S23/'Sources'!C20+'Assumptions'!S20*'Revenue Drivers'!S28/'Sources'!C21+'Assumptions'!S16*'Revenue Drivers'!S36/'Sources'!C22+'Assumptions'!S24*'Revenue Drivers'!S41/'Sources'!C23</x:f>
        <x:v>1.1173175149293466</x:v>
      </x:c>
    </x:row>
    <x:row r="11">
      <x:c r="B11" s="3" t="str">
        <x:v>Brokerage fixed budget ($m)</x:v>
      </x:c>
      <x:c r="C11" s="3"/>
      <x:c r="D11" s="3"/>
      <x:c r="E11" s="3"/>
      <x:c r="F11" s="3"/>
      <x:c r="G11" s="3"/>
      <x:c r="H11" s="16" t="n">
        <x:f>'Assumptions'!H28</x:f>
        <x:v>31</x:v>
      </x:c>
      <x:c r="I11" s="16" t="n">
        <x:f>'Assumptions'!I28</x:f>
        <x:v>31</x:v>
      </x:c>
      <x:c r="J11" s="16" t="n">
        <x:f>'Assumptions'!J28</x:f>
        <x:v>31</x:v>
      </x:c>
      <x:c r="K11" s="16" t="n">
        <x:f>'Assumptions'!K28</x:f>
        <x:v>31</x:v>
      </x:c>
      <x:c r="L11" s="16" t="n">
        <x:f>'Assumptions'!L28</x:f>
        <x:v>31</x:v>
      </x:c>
      <x:c r="M11" s="16" t="n">
        <x:f>'Assumptions'!M28</x:f>
        <x:v>31</x:v>
      </x:c>
      <x:c r="N11" s="16" t="n">
        <x:f>'Assumptions'!N28</x:f>
        <x:v>31</x:v>
      </x:c>
      <x:c r="O11" s="16" t="n">
        <x:f>'Assumptions'!O28</x:f>
        <x:v>31</x:v>
      </x:c>
      <x:c r="P11" s="16" t="n">
        <x:f>'Assumptions'!P28</x:f>
        <x:v>31</x:v>
      </x:c>
      <x:c r="Q11" s="16" t="n">
        <x:f>'Assumptions'!Q28</x:f>
        <x:v>31</x:v>
      </x:c>
      <x:c r="R11" s="16" t="n">
        <x:f>'Assumptions'!R28</x:f>
        <x:v>31</x:v>
      </x:c>
      <x:c r="S11" s="16" t="n">
        <x:f>'Assumptions'!S28</x:f>
        <x:v>31</x:v>
      </x:c>
    </x:row>
    <x:row r="12">
      <x:c r="B12" s="3" t="str">
        <x:v>Brokerage variable budget ($m)</x:v>
      </x:c>
      <x:c r="C12" s="3"/>
      <x:c r="D12" s="3"/>
      <x:c r="E12" s="3"/>
      <x:c r="F12" s="3"/>
      <x:c r="G12" s="3"/>
      <x:c r="H12" s="16" t="n">
        <x:f>'Assumptions'!H36</x:f>
        <x:v>31</x:v>
      </x:c>
      <x:c r="I12" s="16" t="n">
        <x:f>'Assumptions'!I36</x:f>
        <x:v>31</x:v>
      </x:c>
      <x:c r="J12" s="16" t="n">
        <x:f>'Assumptions'!J36</x:f>
        <x:v>31</x:v>
      </x:c>
      <x:c r="K12" s="16" t="n">
        <x:f>'Assumptions'!K36</x:f>
        <x:v>31</x:v>
      </x:c>
      <x:c r="L12" s="16" t="n">
        <x:f>'Assumptions'!L36</x:f>
        <x:v>31</x:v>
      </x:c>
      <x:c r="M12" s="16" t="n">
        <x:f>'Assumptions'!M36</x:f>
        <x:v>31</x:v>
      </x:c>
      <x:c r="N12" s="16" t="n">
        <x:f>'Assumptions'!N36</x:f>
        <x:v>31</x:v>
      </x:c>
      <x:c r="O12" s="16" t="n">
        <x:f>'Assumptions'!O36</x:f>
        <x:v>31</x:v>
      </x:c>
      <x:c r="P12" s="16" t="n">
        <x:f>'Assumptions'!P36</x:f>
        <x:v>31</x:v>
      </x:c>
      <x:c r="Q12" s="16" t="n">
        <x:f>'Assumptions'!Q36</x:f>
        <x:v>31</x:v>
      </x:c>
      <x:c r="R12" s="16" t="n">
        <x:f>'Assumptions'!R36</x:f>
        <x:v>31</x:v>
      </x:c>
      <x:c r="S12" s="16" t="n">
        <x:f>'Assumptions'!S36</x:f>
        <x:v>31</x:v>
      </x:c>
    </x:row>
    <x:row r="13">
      <x:c r="B13" s="13" t="str">
        <x:v>Brokerage / transaction ($m)</x:v>
      </x:c>
      <x:c r="C13" s="13"/>
      <x:c r="D13" s="13"/>
      <x:c r="E13" s="13"/>
      <x:c r="F13" s="13"/>
      <x:c r="G13" s="13"/>
      <x:c r="H13" s="17" t="n">
        <x:f>H11+H12*H10</x:f>
        <x:v>66.02547197307906</x:v>
      </x:c>
      <x:c r="I13" s="17" t="n">
        <x:f>I11+I12*I10</x:f>
        <x:v>62.374345980441475</x:v>
      </x:c>
      <x:c r="J13" s="17" t="n">
        <x:f>J11+J12*J10</x:f>
        <x:v>62.7005956786783</x:v>
      </x:c>
      <x:c r="K13" s="17" t="n">
        <x:f>K11+K12*K10</x:f>
        <x:v>63.02684537691513</x:v>
      </x:c>
      <x:c r="L13" s="17" t="n">
        <x:f>L11+L12*L10</x:f>
        <x:v>63.353095075151955</x:v>
      </x:c>
      <x:c r="M13" s="17" t="n">
        <x:f>M11+M12*M10</x:f>
        <x:v>63.67934477338878</x:v>
      </x:c>
      <x:c r="N13" s="17" t="n">
        <x:f>N11+N12*N10</x:f>
        <x:v>64.00559447162561</x:v>
      </x:c>
      <x:c r="O13" s="17" t="n">
        <x:f>O11+O12*O10</x:f>
        <x:v>64.33184416986244</x:v>
      </x:c>
      <x:c r="P13" s="17" t="n">
        <x:f>P11+P12*P10</x:f>
        <x:v>64.65809386809927</x:v>
      </x:c>
      <x:c r="Q13" s="17" t="n">
        <x:f>Q11+Q12*Q10</x:f>
        <x:v>64.9843435663361</x:v>
      </x:c>
      <x:c r="R13" s="17" t="n">
        <x:f>R11+R12*R10</x:f>
        <x:v>65.31059326457293</x:v>
      </x:c>
      <x:c r="S13" s="17" t="n">
        <x:f>S11+S12*S10</x:f>
        <x:v>65.63684296280974</x:v>
      </x:c>
    </x:row>
    <x:row r="14">
      <x:c r="B14" s="3"/>
      <x:c r="C14" s="3"/>
      <x:c r="D14" s="3"/>
      <x:c r="E14" s="3"/>
      <x:c r="F14" s="3"/>
      <x:c r="G14" s="3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</x:row>
    <x:row r="15">
      <x:c r="B15" s="13" t="str">
        <x:v>Technology / development ($m)</x:v>
      </x:c>
      <x:c r="C15" s="13"/>
      <x:c r="D15" s="13"/>
      <x:c r="E15" s="13"/>
      <x:c r="F15" s="13"/>
      <x:c r="G15" s="13"/>
      <x:c r="H15" s="17" t="n">
        <x:f>'Assumptions'!H248</x:f>
        <x:v>281</x:v>
      </x:c>
      <x:c r="I15" s="17" t="n">
        <x:f>'Assumptions'!I248</x:f>
        <x:v>281</x:v>
      </x:c>
      <x:c r="J15" s="17" t="n">
        <x:f>'Assumptions'!J248</x:f>
        <x:v>284</x:v>
      </x:c>
      <x:c r="K15" s="17" t="n">
        <x:f>'Assumptions'!K248</x:f>
        <x:v>287</x:v>
      </x:c>
      <x:c r="L15" s="17" t="n">
        <x:f>'Assumptions'!L248</x:f>
        <x:v>290</x:v>
      </x:c>
      <x:c r="M15" s="17" t="n">
        <x:f>'Assumptions'!M248</x:f>
        <x:v>293</x:v>
      </x:c>
      <x:c r="N15" s="17" t="n">
        <x:f>'Assumptions'!N248</x:f>
        <x:v>296</x:v>
      </x:c>
      <x:c r="O15" s="17" t="n">
        <x:f>'Assumptions'!O248</x:f>
        <x:v>299</x:v>
      </x:c>
      <x:c r="P15" s="17" t="n">
        <x:f>'Assumptions'!P248</x:f>
        <x:v>302</x:v>
      </x:c>
      <x:c r="Q15" s="17" t="n">
        <x:f>'Assumptions'!Q248</x:f>
        <x:v>305</x:v>
      </x:c>
      <x:c r="R15" s="17" t="n">
        <x:f>'Assumptions'!R248</x:f>
        <x:v>308</x:v>
      </x:c>
      <x:c r="S15" s="17" t="n">
        <x:f>'Assumptions'!S248</x:f>
        <x:v>311</x:v>
      </x:c>
    </x:row>
    <x:row r="16">
      <x:c r="B16" s="3"/>
      <x:c r="C16" s="3"/>
      <x:c r="D16" s="3"/>
      <x:c r="E16" s="3"/>
      <x:c r="F16" s="3"/>
      <x:c r="G16" s="3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</x:row>
    <x:row r="17">
      <x:c r="B17" s="3" t="str">
        <x:v>Operations base ($m)</x:v>
      </x:c>
      <x:c r="C17" s="3"/>
      <x:c r="D17" s="3"/>
      <x:c r="E17" s="3"/>
      <x:c r="F17" s="3"/>
      <x:c r="G17" s="3"/>
      <x:c r="H17" s="16" t="n">
        <x:f>'Assumptions'!H172</x:f>
        <x:v>62</x:v>
      </x:c>
      <x:c r="I17" s="16" t="n">
        <x:f>'Assumptions'!I172</x:f>
        <x:v>62</x:v>
      </x:c>
      <x:c r="J17" s="16" t="n">
        <x:f>'Assumptions'!J172</x:f>
        <x:v>62</x:v>
      </x:c>
      <x:c r="K17" s="16" t="n">
        <x:f>'Assumptions'!K172</x:f>
        <x:v>62</x:v>
      </x:c>
      <x:c r="L17" s="16" t="n">
        <x:f>'Assumptions'!L172</x:f>
        <x:v>62</x:v>
      </x:c>
      <x:c r="M17" s="16" t="n">
        <x:f>'Assumptions'!M172</x:f>
        <x:v>62</x:v>
      </x:c>
      <x:c r="N17" s="16" t="n">
        <x:f>'Assumptions'!N172</x:f>
        <x:v>62</x:v>
      </x:c>
      <x:c r="O17" s="16" t="n">
        <x:f>'Assumptions'!O172</x:f>
        <x:v>62</x:v>
      </x:c>
      <x:c r="P17" s="16" t="n">
        <x:f>'Assumptions'!P172</x:f>
        <x:v>62</x:v>
      </x:c>
      <x:c r="Q17" s="16" t="n">
        <x:f>'Assumptions'!Q172</x:f>
        <x:v>62</x:v>
      </x:c>
      <x:c r="R17" s="16" t="n">
        <x:f>'Assumptions'!R172</x:f>
        <x:v>62</x:v>
      </x:c>
      <x:c r="S17" s="16" t="n">
        <x:f>'Assumptions'!S172</x:f>
        <x:v>62</x:v>
      </x:c>
    </x:row>
    <x:row r="18">
      <x:c r="B18" s="3" t="str">
        <x:v>Operations customer variable share</x:v>
      </x:c>
      <x:c r="C18" s="3"/>
      <x:c r="D18" s="3"/>
      <x:c r="E18" s="3"/>
      <x:c r="F18" s="3"/>
      <x:c r="G18" s="3"/>
      <x:c r="H18" s="16" t="n">
        <x:f>'Assumptions'!H176</x:f>
        <x:v>0.4</x:v>
      </x:c>
      <x:c r="I18" s="16" t="n">
        <x:f>'Assumptions'!I176</x:f>
        <x:v>0.4</x:v>
      </x:c>
      <x:c r="J18" s="16" t="n">
        <x:f>'Assumptions'!J176</x:f>
        <x:v>0.4</x:v>
      </x:c>
      <x:c r="K18" s="16" t="n">
        <x:f>'Assumptions'!K176</x:f>
        <x:v>0.4</x:v>
      </x:c>
      <x:c r="L18" s="16" t="n">
        <x:f>'Assumptions'!L176</x:f>
        <x:v>0.4</x:v>
      </x:c>
      <x:c r="M18" s="16" t="n">
        <x:f>'Assumptions'!M176</x:f>
        <x:v>0.4</x:v>
      </x:c>
      <x:c r="N18" s="16" t="n">
        <x:f>'Assumptions'!N176</x:f>
        <x:v>0.4</x:v>
      </x:c>
      <x:c r="O18" s="16" t="n">
        <x:f>'Assumptions'!O176</x:f>
        <x:v>0.4</x:v>
      </x:c>
      <x:c r="P18" s="16" t="n">
        <x:f>'Assumptions'!P176</x:f>
        <x:v>0.4</x:v>
      </x:c>
      <x:c r="Q18" s="16" t="n">
        <x:f>'Assumptions'!Q176</x:f>
        <x:v>0.4</x:v>
      </x:c>
      <x:c r="R18" s="16" t="n">
        <x:f>'Assumptions'!R176</x:f>
        <x:v>0.4</x:v>
      </x:c>
      <x:c r="S18" s="16" t="n">
        <x:f>'Assumptions'!S176</x:f>
        <x:v>0.4</x:v>
      </x:c>
    </x:row>
    <x:row r="19">
      <x:c r="B19" s="13" t="str">
        <x:v>Operations ($m)</x:v>
      </x:c>
      <x:c r="C19" s="13"/>
      <x:c r="D19" s="13"/>
      <x:c r="E19" s="13"/>
      <x:c r="F19" s="13"/>
      <x:c r="G19" s="13"/>
      <x:c r="H19" s="17" t="n">
        <x:f>H17*((1-H18)+H18*'Revenue Drivers'!H12/'Sources'!C13)</x:f>
        <x:v>62.261971830985914</x:v>
      </x:c>
      <x:c r="I19" s="17" t="n">
        <x:f>I17*((1-I18)+I18*'Revenue Drivers'!I12/'Sources'!C13)</x:f>
        <x:v>62.52394366197183</x:v>
      </x:c>
      <x:c r="J19" s="17" t="n">
        <x:f>J17*((1-J18)+J18*'Revenue Drivers'!J12/'Sources'!C13)</x:f>
        <x:v>62.785915492957756</x:v>
      </x:c>
      <x:c r="K19" s="17" t="n">
        <x:f>K17*((1-K18)+K18*'Revenue Drivers'!K12/'Sources'!C13)</x:f>
        <x:v>63.04788732394368</x:v>
      </x:c>
      <x:c r="L19" s="17" t="n">
        <x:f>L17*((1-L18)+L18*'Revenue Drivers'!L12/'Sources'!C13)</x:f>
        <x:v>63.30985915492959</x:v>
      </x:c>
      <x:c r="M19" s="17" t="n">
        <x:f>M17*((1-M18)+M18*'Revenue Drivers'!M12/'Sources'!C13)</x:f>
        <x:v>63.571830985915504</x:v>
      </x:c>
      <x:c r="N19" s="17" t="n">
        <x:f>N17*((1-N18)+N18*'Revenue Drivers'!N12/'Sources'!C13)</x:f>
        <x:v>63.83380281690142</x:v>
      </x:c>
      <x:c r="O19" s="17" t="n">
        <x:f>O17*((1-O18)+O18*'Revenue Drivers'!O12/'Sources'!C13)</x:f>
        <x:v>64.09577464788734</x:v>
      </x:c>
      <x:c r="P19" s="17" t="n">
        <x:f>P17*((1-P18)+P18*'Revenue Drivers'!P12/'Sources'!C13)</x:f>
        <x:v>64.35774647887325</x:v>
      </x:c>
      <x:c r="Q19" s="17" t="n">
        <x:f>Q17*((1-Q18)+Q18*'Revenue Drivers'!Q12/'Sources'!C13)</x:f>
        <x:v>64.61971830985917</x:v>
      </x:c>
      <x:c r="R19" s="17" t="n">
        <x:f>R17*((1-R18)+R18*'Revenue Drivers'!R12/'Sources'!C13)</x:f>
        <x:v>64.88169014084508</x:v>
      </x:c>
      <x:c r="S19" s="17" t="n">
        <x:f>S17*((1-S18)+S18*'Revenue Drivers'!S12/'Sources'!C13)</x:f>
        <x:v>65.143661971831</x:v>
      </x:c>
    </x:row>
    <x:row r="20">
      <x:c r="B20" s="3"/>
      <x:c r="C20" s="3"/>
      <x:c r="D20" s="3"/>
      <x:c r="E20" s="3"/>
      <x:c r="F20" s="3"/>
      <x:c r="G20" s="3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</x:row>
    <x:row r="21">
      <x:c r="B21" s="3" t="str">
        <x:v>Credit provision / quarterly balance</x:v>
      </x:c>
      <x:c r="C21" s="3"/>
      <x:c r="D21" s="3"/>
      <x:c r="E21" s="3"/>
      <x:c r="F21" s="3"/>
      <x:c r="G21" s="3"/>
      <x:c r="H21" s="16" t="n">
        <x:f>'Assumptions'!H76</x:f>
        <x:v>0.0375</x:v>
      </x:c>
      <x:c r="I21" s="16" t="n">
        <x:f>'Assumptions'!I76</x:f>
        <x:v>0.0375</x:v>
      </x:c>
      <x:c r="J21" s="16" t="n">
        <x:f>'Assumptions'!J76</x:f>
        <x:v>0.0375</x:v>
      </x:c>
      <x:c r="K21" s="16" t="n">
        <x:f>'Assumptions'!K76</x:f>
        <x:v>0.0375</x:v>
      </x:c>
      <x:c r="L21" s="16" t="n">
        <x:f>'Assumptions'!L76</x:f>
        <x:v>0.0375</x:v>
      </x:c>
      <x:c r="M21" s="16" t="n">
        <x:f>'Assumptions'!M76</x:f>
        <x:v>0.0375</x:v>
      </x:c>
      <x:c r="N21" s="16" t="n">
        <x:f>'Assumptions'!N76</x:f>
        <x:v>0.0375</x:v>
      </x:c>
      <x:c r="O21" s="16" t="n">
        <x:f>'Assumptions'!O76</x:f>
        <x:v>0.0375</x:v>
      </x:c>
      <x:c r="P21" s="16" t="n">
        <x:f>'Assumptions'!P76</x:f>
        <x:v>0.0375</x:v>
      </x:c>
      <x:c r="Q21" s="16" t="n">
        <x:f>'Assumptions'!Q76</x:f>
        <x:v>0.0375</x:v>
      </x:c>
      <x:c r="R21" s="16" t="n">
        <x:f>'Assumptions'!R76</x:f>
        <x:v>0.0375</x:v>
      </x:c>
      <x:c r="S21" s="16" t="n">
        <x:f>'Assumptions'!S76</x:f>
        <x:v>0.0375</x:v>
      </x:c>
    </x:row>
    <x:row r="22">
      <x:c r="B22" s="13" t="str">
        <x:v>Credit loss provision ($m)</x:v>
      </x:c>
      <x:c r="C22" s="13"/>
      <x:c r="D22" s="13"/>
      <x:c r="E22" s="13"/>
      <x:c r="F22" s="13"/>
      <x:c r="G22" s="13"/>
      <x:c r="H22" s="17" t="n">
        <x:f>'Revenue Drivers'!H52*1000*H21</x:f>
        <x:v>58.08937499999999</x:v>
      </x:c>
      <x:c r="I22" s="17" t="n">
        <x:f>'Revenue Drivers'!I52*1000*I21</x:f>
        <x:v>66.22188749999998</x:v>
      </x:c>
      <x:c r="J22" s="17" t="n">
        <x:f>'Revenue Drivers'!J52*1000*J21</x:f>
        <x:v>74.83073287499998</x:v>
      </x:c>
      <x:c r="K22" s="17" t="n">
        <x:f>'Revenue Drivers'!K52*1000*K21</x:f>
        <x:v>83.81042081999999</x:v>
      </x:c>
      <x:c r="L22" s="17" t="n">
        <x:f>'Revenue Drivers'!L52*1000*L21</x:f>
        <x:v>93.02956711019996</x:v>
      </x:c>
      <x:c r="M22" s="17" t="n">
        <x:f>'Revenue Drivers'!M52*1000*M21</x:f>
        <x:v>102.33252382121998</x:v>
      </x:c>
      <x:c r="N22" s="17" t="n">
        <x:f>'Revenue Drivers'!N52*1000*N21</x:f>
        <x:v>111.54245096512979</x:v>
      </x:c>
      <x:c r="O22" s="17" t="n">
        <x:f>'Revenue Drivers'!O52*1000*O21</x:f>
        <x:v>120.46584704234019</x:v>
      </x:c>
      <x:c r="P22" s="17" t="n">
        <x:f>'Revenue Drivers'!P52*1000*P21</x:f>
        <x:v>128.898456335304</x:v>
      </x:c>
      <x:c r="Q22" s="17" t="n">
        <x:f>'Revenue Drivers'!Q52*1000*Q21</x:f>
        <x:v>136.63236371542223</x:v>
      </x:c>
      <x:c r="R22" s="17" t="n">
        <x:f>'Revenue Drivers'!R52*1000*R21</x:f>
        <x:v>143.46398190119336</x:v>
      </x:c>
      <x:c r="S22" s="17" t="n">
        <x:f>'Revenue Drivers'!S52*1000*S21</x:f>
        <x:v>150.63718099625305</x:v>
      </x:c>
    </x:row>
    <x:row r="23">
      <x:c r="B23" s="3"/>
      <x:c r="C23" s="3"/>
      <x:c r="D23" s="3"/>
      <x:c r="E23" s="3"/>
      <x:c r="F23" s="3"/>
      <x:c r="G23" s="3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</x:row>
    <x:row r="24">
      <x:c r="B24" s="3" t="str">
        <x:v>Marketing base ($m)</x:v>
      </x:c>
      <x:c r="C24" s="3"/>
      <x:c r="D24" s="3"/>
      <x:c r="E24" s="3"/>
      <x:c r="F24" s="3"/>
      <x:c r="G24" s="3"/>
      <x:c r="H24" s="16" t="n">
        <x:f>'Assumptions'!H152</x:f>
        <x:v>129</x:v>
      </x:c>
      <x:c r="I24" s="16" t="n">
        <x:f>'Assumptions'!I152</x:f>
        <x:v>129</x:v>
      </x:c>
      <x:c r="J24" s="16" t="n">
        <x:f>'Assumptions'!J152</x:f>
        <x:v>129</x:v>
      </x:c>
      <x:c r="K24" s="16" t="n">
        <x:f>'Assumptions'!K152</x:f>
        <x:v>129</x:v>
      </x:c>
      <x:c r="L24" s="16" t="n">
        <x:f>'Assumptions'!L152</x:f>
        <x:v>129</x:v>
      </x:c>
      <x:c r="M24" s="16" t="n">
        <x:f>'Assumptions'!M152</x:f>
        <x:v>129</x:v>
      </x:c>
      <x:c r="N24" s="16" t="n">
        <x:f>'Assumptions'!N152</x:f>
        <x:v>129</x:v>
      </x:c>
      <x:c r="O24" s="16" t="n">
        <x:f>'Assumptions'!O152</x:f>
        <x:v>129</x:v>
      </x:c>
      <x:c r="P24" s="16" t="n">
        <x:f>'Assumptions'!P152</x:f>
        <x:v>129</x:v>
      </x:c>
      <x:c r="Q24" s="16" t="n">
        <x:f>'Assumptions'!Q152</x:f>
        <x:v>129</x:v>
      </x:c>
      <x:c r="R24" s="16" t="n">
        <x:f>'Assumptions'!R152</x:f>
        <x:v>129</x:v>
      </x:c>
      <x:c r="S24" s="16" t="n">
        <x:f>'Assumptions'!S152</x:f>
        <x:v>129</x:v>
      </x:c>
    </x:row>
    <x:row r="25">
      <x:c r="B25" s="3" t="str">
        <x:v>Marketing additions variable share</x:v>
      </x:c>
      <x:c r="C25" s="3"/>
      <x:c r="D25" s="3"/>
      <x:c r="E25" s="3"/>
      <x:c r="F25" s="3"/>
      <x:c r="G25" s="3"/>
      <x:c r="H25" s="16" t="n">
        <x:f>'Assumptions'!H148</x:f>
        <x:v>0.2</x:v>
      </x:c>
      <x:c r="I25" s="16" t="n">
        <x:f>'Assumptions'!I148</x:f>
        <x:v>0.2</x:v>
      </x:c>
      <x:c r="J25" s="16" t="n">
        <x:f>'Assumptions'!J148</x:f>
        <x:v>0.2</x:v>
      </x:c>
      <x:c r="K25" s="16" t="n">
        <x:f>'Assumptions'!K148</x:f>
        <x:v>0.2</x:v>
      </x:c>
      <x:c r="L25" s="16" t="n">
        <x:f>'Assumptions'!L148</x:f>
        <x:v>0.2</x:v>
      </x:c>
      <x:c r="M25" s="16" t="n">
        <x:f>'Assumptions'!M148</x:f>
        <x:v>0.2</x:v>
      </x:c>
      <x:c r="N25" s="16" t="n">
        <x:f>'Assumptions'!N148</x:f>
        <x:v>0.2</x:v>
      </x:c>
      <x:c r="O25" s="16" t="n">
        <x:f>'Assumptions'!O148</x:f>
        <x:v>0.2</x:v>
      </x:c>
      <x:c r="P25" s="16" t="n">
        <x:f>'Assumptions'!P148</x:f>
        <x:v>0.2</x:v>
      </x:c>
      <x:c r="Q25" s="16" t="n">
        <x:f>'Assumptions'!Q148</x:f>
        <x:v>0.2</x:v>
      </x:c>
      <x:c r="R25" s="16" t="n">
        <x:f>'Assumptions'!R148</x:f>
        <x:v>0.2</x:v>
      </x:c>
      <x:c r="S25" s="16" t="n">
        <x:f>'Assumptions'!S148</x:f>
        <x:v>0.2</x:v>
      </x:c>
    </x:row>
    <x:row r="26">
      <x:c r="B26" s="13" t="str">
        <x:v>Marketing ($m)</x:v>
      </x:c>
      <x:c r="C26" s="13"/>
      <x:c r="D26" s="13"/>
      <x:c r="E26" s="13"/>
      <x:c r="F26" s="13"/>
      <x:c r="G26" s="13"/>
      <x:c r="H26" s="17" t="n">
        <x:f>H24*((1-H25)+H25*'Revenue Drivers'!H11/'Assumptions'!H156)</x:f>
        <x:v>129.00000000000037</x:v>
      </x:c>
      <x:c r="I26" s="17" t="n">
        <x:f>I24*((1-I25)+I25*'Revenue Drivers'!I11/'Assumptions'!I156)</x:f>
        <x:v>129.00000000000006</x:v>
      </x:c>
      <x:c r="J26" s="17" t="n">
        <x:f>J24*((1-J25)+J25*'Revenue Drivers'!J11/'Assumptions'!J156)</x:f>
        <x:v>129.00000000000006</x:v>
      </x:c>
      <x:c r="K26" s="17" t="n">
        <x:f>K24*((1-K25)+K25*'Revenue Drivers'!K11/'Assumptions'!K156)</x:f>
        <x:v>129.00000000000006</x:v>
      </x:c>
      <x:c r="L26" s="17" t="n">
        <x:f>L24*((1-L25)+L25*'Revenue Drivers'!L11/'Assumptions'!L156)</x:f>
        <x:v>129.00000000000006</x:v>
      </x:c>
      <x:c r="M26" s="17" t="n">
        <x:f>M24*((1-M25)+M25*'Revenue Drivers'!M11/'Assumptions'!M156)</x:f>
        <x:v>129.00000000000006</x:v>
      </x:c>
      <x:c r="N26" s="17" t="n">
        <x:f>N24*((1-N25)+N25*'Revenue Drivers'!N11/'Assumptions'!N156)</x:f>
        <x:v>129.00000000000006</x:v>
      </x:c>
      <x:c r="O26" s="17" t="n">
        <x:f>O24*((1-O25)+O25*'Revenue Drivers'!O11/'Assumptions'!O156)</x:f>
        <x:v>129.00000000000006</x:v>
      </x:c>
      <x:c r="P26" s="17" t="n">
        <x:f>P24*((1-P25)+P25*'Revenue Drivers'!P11/'Assumptions'!P156)</x:f>
        <x:v>129.00000000000006</x:v>
      </x:c>
      <x:c r="Q26" s="17" t="n">
        <x:f>Q24*((1-Q25)+Q25*'Revenue Drivers'!Q11/'Assumptions'!Q156)</x:f>
        <x:v>129.00000000000006</x:v>
      </x:c>
      <x:c r="R26" s="17" t="n">
        <x:f>R24*((1-R25)+R25*'Revenue Drivers'!R11/'Assumptions'!R156)</x:f>
        <x:v>129.00000000000006</x:v>
      </x:c>
      <x:c r="S26" s="17" t="n">
        <x:f>S24*((1-S25)+S25*'Revenue Drivers'!S11/'Assumptions'!S156)</x:f>
        <x:v>128.99999999999977</x:v>
      </x:c>
    </x:row>
    <x:row r="27">
      <x:c r="B27" s="3"/>
      <x:c r="C27" s="3"/>
      <x:c r="D27" s="3"/>
      <x:c r="E27" s="3"/>
      <x:c r="F27" s="3"/>
      <x:c r="G27" s="3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</x:row>
    <x:row r="28">
      <x:c r="B28" s="13" t="str">
        <x:v>General / administrative ($m)</x:v>
      </x:c>
      <x:c r="C28" s="13"/>
      <x:c r="D28" s="13"/>
      <x:c r="E28" s="13"/>
      <x:c r="F28" s="13"/>
      <x:c r="G28" s="13"/>
      <x:c r="H28" s="17" t="n">
        <x:f>'Assumptions'!H120</x:f>
        <x:v>191</x:v>
      </x:c>
      <x:c r="I28" s="17" t="n">
        <x:f>'Assumptions'!I120</x:f>
        <x:v>191</x:v>
      </x:c>
      <x:c r="J28" s="17" t="n">
        <x:f>'Assumptions'!J120</x:f>
        <x:v>193</x:v>
      </x:c>
      <x:c r="K28" s="17" t="n">
        <x:f>'Assumptions'!K120</x:f>
        <x:v>195</x:v>
      </x:c>
      <x:c r="L28" s="17" t="n">
        <x:f>'Assumptions'!L120</x:f>
        <x:v>197</x:v>
      </x:c>
      <x:c r="M28" s="17" t="n">
        <x:f>'Assumptions'!M120</x:f>
        <x:v>199</x:v>
      </x:c>
      <x:c r="N28" s="17" t="n">
        <x:f>'Assumptions'!N120</x:f>
        <x:v>201</x:v>
      </x:c>
      <x:c r="O28" s="17" t="n">
        <x:f>'Assumptions'!O120</x:f>
        <x:v>203</x:v>
      </x:c>
      <x:c r="P28" s="17" t="n">
        <x:f>'Assumptions'!P120</x:f>
        <x:v>205</x:v>
      </x:c>
      <x:c r="Q28" s="17" t="n">
        <x:f>'Assumptions'!Q120</x:f>
        <x:v>207</x:v>
      </x:c>
      <x:c r="R28" s="17" t="n">
        <x:f>'Assumptions'!R120</x:f>
        <x:v>209</x:v>
      </x:c>
      <x:c r="S28" s="17" t="n">
        <x:f>'Assumptions'!S120</x:f>
        <x:v>211</x:v>
      </x:c>
    </x:row>
    <x:row r="29">
      <x:c r="B29" s="3"/>
      <x:c r="C29" s="3"/>
      <x:c r="D29" s="3"/>
      <x:c r="E29" s="3"/>
      <x:c r="F29" s="3"/>
      <x:c r="G29" s="3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</x:row>
    <x:row r="30">
      <x:c r="B30" s="13" t="str">
        <x:v>OPERATING EXPENSE ($m)</x:v>
      </x:c>
      <x:c r="C30" s="13"/>
      <x:c r="D30" s="13"/>
      <x:c r="E30" s="13"/>
      <x:c r="F30" s="13"/>
      <x:c r="G30" s="13"/>
      <x:c r="H30" s="17" t="n">
        <x:f>SUM(H13,H15,H19,H22,H26,H28)</x:f>
        <x:v>787.3768188040654</x:v>
      </x:c>
      <x:c r="I30" s="17" t="n">
        <x:f>SUM(I13,I15,I19,I22,I26,I28)</x:f>
        <x:v>792.1201771424134</x:v>
      </x:c>
      <x:c r="J30" s="17" t="n">
        <x:f>SUM(J13,J15,J19,J22,J26,J28)</x:f>
        <x:v>806.317244046636</x:v>
      </x:c>
      <x:c r="K30" s="17" t="n">
        <x:f>SUM(K13,K15,K19,K22,K26,K28)</x:f>
        <x:v>820.8851535208588</x:v>
      </x:c>
      <x:c r="L30" s="17" t="n">
        <x:f>SUM(L13,L15,L19,L22,L26,L28)</x:f>
        <x:v>835.6925213402815</x:v>
      </x:c>
      <x:c r="M30" s="17" t="n">
        <x:f>SUM(M13,M15,M19,M22,M26,M28)</x:f>
        <x:v>850.5836995805244</x:v>
      </x:c>
      <x:c r="N30" s="17" t="n">
        <x:f>SUM(N13,N15,N19,N22,N26,N28)</x:f>
        <x:v>865.3818482536569</x:v>
      </x:c>
      <x:c r="O30" s="17" t="n">
        <x:f>SUM(O13,O15,O19,O22,O26,O28)</x:f>
        <x:v>879.8934658600901</x:v>
      </x:c>
      <x:c r="P30" s="17" t="n">
        <x:f>SUM(P13,P15,P19,P22,P26,P28)</x:f>
        <x:v>893.9142966822765</x:v>
      </x:c>
      <x:c r="Q30" s="17" t="n">
        <x:f>SUM(Q13,Q15,Q19,Q22,Q26,Q28)</x:f>
        <x:v>907.2364255916175</x:v>
      </x:c>
      <x:c r="R30" s="17" t="n">
        <x:f>SUM(R13,R15,R19,R22,R26,R28)</x:f>
        <x:v>919.6562653066114</x:v>
      </x:c>
      <x:c r="S30" s="17" t="n">
        <x:f>SUM(S13,S15,S19,S22,S26,S28)</x:f>
        <x:v>932.4176859308935</x:v>
      </x:c>
    </x:row>
    <x:row r="31">
      <x:c r="B31" s="3" t="str">
        <x:v>Expense / revenue (%)</x:v>
      </x:c>
      <x:c r="C31" s="3"/>
      <x:c r="D31" s="3"/>
      <x:c r="E31" s="3"/>
      <x:c r="F31" s="3"/>
      <x:c r="G31" s="3"/>
      <x:c r="H31" s="18" t="n">
        <x:f>H30/'Revenue Drivers'!H78</x:f>
        <x:v>0.5498404032446772</x:v>
      </x:c>
      <x:c r="I31" s="18" t="n">
        <x:f>I30/'Revenue Drivers'!I78</x:f>
        <x:v>0.5722158296541806</x:v>
      </x:c>
      <x:c r="J31" s="18" t="n">
        <x:f>J30/'Revenue Drivers'!J78</x:f>
        <x:v>0.5710367925212552</x:v>
      </x:c>
      <x:c r="K31" s="18" t="n">
        <x:f>K30/'Revenue Drivers'!K78</x:f>
        <x:v>0.5560050860518</x:v>
      </x:c>
      <x:c r="L31" s="18" t="n">
        <x:f>L30/'Revenue Drivers'!L78</x:f>
        <x:v>0.5678078068525076</x:v>
      </x:c>
      <x:c r="M31" s="18" t="n">
        <x:f>M30/'Revenue Drivers'!M78</x:f>
        <x:v>0.5647714612393304</x:v>
      </x:c>
      <x:c r="N31" s="18" t="n">
        <x:f>N30/'Revenue Drivers'!N78</x:f>
        <x:v>0.5651168740282104</x:v>
      </x:c>
      <x:c r="O31" s="18" t="n">
        <x:f>O30/'Revenue Drivers'!O78</x:f>
        <x:v>0.5523128069484546</x:v>
      </x:c>
      <x:c r="P31" s="18" t="n">
        <x:f>P30/'Revenue Drivers'!P78</x:f>
        <x:v>0.5639022688738945</x:v>
      </x:c>
      <x:c r="Q31" s="18" t="n">
        <x:f>Q30/'Revenue Drivers'!Q78</x:f>
        <x:v>0.5615706622861504</x:v>
      </x:c>
      <x:c r="R31" s="18" t="n">
        <x:f>R30/'Revenue Drivers'!R78</x:f>
        <x:v>0.562164616607146</x:v>
      </x:c>
      <x:c r="S31" s="18" t="n">
        <x:f>S30/'Revenue Drivers'!S78</x:f>
        <x:v>0.5506757855526399</x:v>
      </x:c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1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Quarterly operating forecast · Q3 2026 is NOWCAST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Case Selected:</x:v>
      </x:c>
      <x:c r="C4" s="15" t="str">
        <x:f>CHOOSE('Assumptions'!$D$4,"Base","Upside","Downside")</x:f>
        <x:v>Base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 t="str">
        <x:v>USD millions unless labeled</x:v>
      </x:c>
      <x:c r="C7" s="6"/>
      <x:c r="D7" s="6"/>
      <x:c r="E7" s="6"/>
      <x:c r="F7" s="6"/>
      <x:c r="G7" s="6"/>
      <x:c r="H7" s="6" t="str">
        <x:v>2026Q3</x:v>
      </x:c>
      <x:c r="I7" s="6" t="str">
        <x:v>2026Q4</x:v>
      </x:c>
      <x:c r="J7" s="6" t="str">
        <x:v>2027Q1</x:v>
      </x:c>
      <x:c r="K7" s="6" t="str">
        <x:v>2027Q2</x:v>
      </x:c>
      <x:c r="L7" s="6" t="str">
        <x:v>2027Q3</x:v>
      </x:c>
      <x:c r="M7" s="6" t="str">
        <x:v>2027Q4</x:v>
      </x:c>
      <x:c r="N7" s="6" t="str">
        <x:v>2028Q1</x:v>
      </x:c>
      <x:c r="O7" s="6" t="str">
        <x:v>2028Q2</x:v>
      </x:c>
      <x:c r="P7" s="6" t="str">
        <x:v>2028Q3</x:v>
      </x:c>
      <x:c r="Q7" s="6" t="str">
        <x:v>2028Q4</x:v>
      </x:c>
      <x:c r="R7" s="6" t="str">
        <x:v>2029Q1</x:v>
      </x:c>
      <x:c r="S7" s="6" t="str">
        <x:v>2029Q2</x:v>
      </x:c>
    </x:row>
    <x:row r="8">
      <x:c r="B8" s="3"/>
      <x:c r="C8" s="3"/>
      <x:c r="D8" s="3"/>
      <x:c r="E8" s="3"/>
      <x:c r="F8" s="3"/>
      <x:c r="G8" s="3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</x:row>
    <x:row r="9">
      <x:c r="B9" s="3"/>
      <x:c r="C9" s="3"/>
      <x:c r="D9" s="3"/>
      <x:c r="E9" s="3"/>
      <x:c r="F9" s="3"/>
      <x:c r="G9" s="3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</x:row>
    <x:row r="10">
      <x:c r="B10" s="13" t="str">
        <x:v>TOTAL REVENUE ($m)</x:v>
      </x:c>
      <x:c r="C10" s="13"/>
      <x:c r="D10" s="13"/>
      <x:c r="E10" s="13"/>
      <x:c r="F10" s="13"/>
      <x:c r="G10" s="13"/>
      <x:c r="H10" s="17" t="n">
        <x:f>'Revenue Drivers'!H78</x:f>
        <x:v>1432.009750752502</x:v>
      </x:c>
      <x:c r="I10" s="17" t="n">
        <x:f>'Revenue Drivers'!I78</x:f>
        <x:v>1384.3031529224422</x:v>
      </x:c>
      <x:c r="J10" s="17" t="n">
        <x:f>'Revenue Drivers'!J78</x:f>
        <x:v>1412.0232787217878</x:v>
      </x:c>
      <x:c r="K10" s="17" t="n">
        <x:f>'Revenue Drivers'!K78</x:f>
        <x:v>1476.3986411526844</x:v>
      </x:c>
      <x:c r="L10" s="17" t="n">
        <x:f>'Revenue Drivers'!L78</x:f>
        <x:v>1471.7876564126898</x:v>
      </x:c>
      <x:c r="M10" s="17" t="n">
        <x:f>'Revenue Drivers'!M78</x:f>
        <x:v>1506.0670695258036</x:v>
      </x:c>
      <x:c r="N10" s="17" t="n">
        <x:f>'Revenue Drivers'!N78</x:f>
        <x:v>1531.3325225720607</x:v>
      </x:c>
      <x:c r="O10" s="17" t="n">
        <x:f>'Revenue Drivers'!O78</x:f>
        <x:v>1593.1071211647775</x:v>
      </x:c>
      <x:c r="P10" s="17" t="n">
        <x:f>'Revenue Drivers'!P78</x:f>
        <x:v>1585.2291186332902</x:v>
      </x:c>
      <x:c r="Q10" s="17" t="n">
        <x:f>'Revenue Drivers'!Q78</x:f>
        <x:v>1615.5338704808119</x:v>
      </x:c>
      <x:c r="R10" s="17" t="n">
        <x:f>'Revenue Drivers'!R78</x:f>
        <x:v>1635.9198678441355</x:v>
      </x:c>
      <x:c r="S10" s="17" t="n">
        <x:f>'Revenue Drivers'!S78</x:f>
        <x:v>1693.2244169682353</x:v>
      </x:c>
    </x:row>
    <x:row r="11">
      <x:c r="B11" s="3" t="str">
        <x:v>Operating expense ($m)</x:v>
      </x:c>
      <x:c r="C11" s="3"/>
      <x:c r="D11" s="3"/>
      <x:c r="E11" s="3"/>
      <x:c r="F11" s="3"/>
      <x:c r="G11" s="3"/>
      <x:c r="H11" s="16" t="n">
        <x:f>'Expense Build'!H30</x:f>
        <x:v>787.3768188040654</x:v>
      </x:c>
      <x:c r="I11" s="16" t="n">
        <x:f>'Expense Build'!I30</x:f>
        <x:v>792.1201771424134</x:v>
      </x:c>
      <x:c r="J11" s="16" t="n">
        <x:f>'Expense Build'!J30</x:f>
        <x:v>806.317244046636</x:v>
      </x:c>
      <x:c r="K11" s="16" t="n">
        <x:f>'Expense Build'!K30</x:f>
        <x:v>820.8851535208588</x:v>
      </x:c>
      <x:c r="L11" s="16" t="n">
        <x:f>'Expense Build'!L30</x:f>
        <x:v>835.6925213402815</x:v>
      </x:c>
      <x:c r="M11" s="16" t="n">
        <x:f>'Expense Build'!M30</x:f>
        <x:v>850.5836995805244</x:v>
      </x:c>
      <x:c r="N11" s="16" t="n">
        <x:f>'Expense Build'!N30</x:f>
        <x:v>865.3818482536569</x:v>
      </x:c>
      <x:c r="O11" s="16" t="n">
        <x:f>'Expense Build'!O30</x:f>
        <x:v>879.8934658600901</x:v>
      </x:c>
      <x:c r="P11" s="16" t="n">
        <x:f>'Expense Build'!P30</x:f>
        <x:v>893.9142966822765</x:v>
      </x:c>
      <x:c r="Q11" s="16" t="n">
        <x:f>'Expense Build'!Q30</x:f>
        <x:v>907.2364255916175</x:v>
      </x:c>
      <x:c r="R11" s="16" t="n">
        <x:f>'Expense Build'!R30</x:f>
        <x:v>919.6562653066114</x:v>
      </x:c>
      <x:c r="S11" s="16" t="n">
        <x:f>'Expense Build'!S30</x:f>
        <x:v>932.4176859308935</x:v>
      </x:c>
    </x:row>
    <x:row r="12">
      <x:c r="B12" s="13" t="str">
        <x:v>OPERATING INCOME ($m)</x:v>
      </x:c>
      <x:c r="C12" s="13"/>
      <x:c r="D12" s="13"/>
      <x:c r="E12" s="13"/>
      <x:c r="F12" s="13"/>
      <x:c r="G12" s="13"/>
      <x:c r="H12" s="17" t="n">
        <x:f>H10-H11</x:f>
        <x:v>644.6329319484366</x:v>
      </x:c>
      <x:c r="I12" s="17" t="n">
        <x:f>I10-I11</x:f>
        <x:v>592.1829757800289</x:v>
      </x:c>
      <x:c r="J12" s="17" t="n">
        <x:f>J10-J11</x:f>
        <x:v>605.7060346751518</x:v>
      </x:c>
      <x:c r="K12" s="17" t="n">
        <x:f>K10-K11</x:f>
        <x:v>655.5134876318256</x:v>
      </x:c>
      <x:c r="L12" s="17" t="n">
        <x:f>L10-L11</x:f>
        <x:v>636.0951350724083</x:v>
      </x:c>
      <x:c r="M12" s="17" t="n">
        <x:f>M10-M11</x:f>
        <x:v>655.4833699452793</x:v>
      </x:c>
      <x:c r="N12" s="17" t="n">
        <x:f>N10-N11</x:f>
        <x:v>665.9506743184038</x:v>
      </x:c>
      <x:c r="O12" s="17" t="n">
        <x:f>O10-O11</x:f>
        <x:v>713.2136553046873</x:v>
      </x:c>
      <x:c r="P12" s="17" t="n">
        <x:f>P10-P11</x:f>
        <x:v>691.3148219510138</x:v>
      </x:c>
      <x:c r="Q12" s="17" t="n">
        <x:f>Q10-Q11</x:f>
        <x:v>708.2974448891944</x:v>
      </x:c>
      <x:c r="R12" s="17" t="n">
        <x:f>R10-R11</x:f>
        <x:v>716.2636025375241</x:v>
      </x:c>
      <x:c r="S12" s="17" t="n">
        <x:f>S10-S11</x:f>
        <x:v>760.8067310373418</x:v>
      </x:c>
    </x:row>
    <x:row r="13">
      <x:c r="B13" s="3" t="str">
        <x:v>Operating margin (%)</x:v>
      </x:c>
      <x:c r="C13" s="3"/>
      <x:c r="D13" s="3"/>
      <x:c r="E13" s="3"/>
      <x:c r="F13" s="3"/>
      <x:c r="G13" s="3"/>
      <x:c r="H13" s="18" t="n">
        <x:f>H12/H10</x:f>
        <x:v>0.4501595967553228</x:v>
      </x:c>
      <x:c r="I13" s="18" t="n">
        <x:f>I12/I10</x:f>
        <x:v>0.4277841703458194</x:v>
      </x:c>
      <x:c r="J13" s="18" t="n">
        <x:f>J12/J10</x:f>
        <x:v>0.42896320747874483</x:v>
      </x:c>
      <x:c r="K13" s="18" t="n">
        <x:f>K12/K10</x:f>
        <x:v>0.44399491394820007</x:v>
      </x:c>
      <x:c r="L13" s="18" t="n">
        <x:f>L12/L10</x:f>
        <x:v>0.43219219314749235</x:v>
      </x:c>
      <x:c r="M13" s="18" t="n">
        <x:f>M12/M10</x:f>
        <x:v>0.4352285387606696</x:v>
      </x:c>
      <x:c r="N13" s="18" t="n">
        <x:f>N12/N10</x:f>
        <x:v>0.4348831259717896</x:v>
      </x:c>
      <x:c r="O13" s="18" t="n">
        <x:f>O12/O10</x:f>
        <x:v>0.4476871930515453</x:v>
      </x:c>
      <x:c r="P13" s="18" t="n">
        <x:f>P12/P10</x:f>
        <x:v>0.43609773112610545</x:v>
      </x:c>
      <x:c r="Q13" s="18" t="n">
        <x:f>Q12/Q10</x:f>
        <x:v>0.43842933771384957</x:v>
      </x:c>
      <x:c r="R13" s="18" t="n">
        <x:f>R12/R10</x:f>
        <x:v>0.437835383392854</x:v>
      </x:c>
      <x:c r="S13" s="18" t="n">
        <x:f>S12/S10</x:f>
        <x:v>0.4493242144473602</x:v>
      </x:c>
    </x:row>
    <x:row r="14">
      <x:c r="B14" s="3" t="str">
        <x:v>Nonoperating income ($m)</x:v>
      </x:c>
      <x:c r="C14" s="3"/>
      <x:c r="D14" s="3"/>
      <x:c r="E14" s="3"/>
      <x:c r="F14" s="3"/>
      <x:c r="G14" s="3"/>
      <x:c r="H14" s="16" t="n">
        <x:f>'Assumptions'!H168</x:f>
        <x:v>0</x:v>
      </x:c>
      <x:c r="I14" s="16" t="n">
        <x:f>'Assumptions'!I168</x:f>
        <x:v>0</x:v>
      </x:c>
      <x:c r="J14" s="16" t="n">
        <x:f>'Assumptions'!J168</x:f>
        <x:v>0</x:v>
      </x:c>
      <x:c r="K14" s="16" t="n">
        <x:f>'Assumptions'!K168</x:f>
        <x:v>0</x:v>
      </x:c>
      <x:c r="L14" s="16" t="n">
        <x:f>'Assumptions'!L168</x:f>
        <x:v>0</x:v>
      </x:c>
      <x:c r="M14" s="16" t="n">
        <x:f>'Assumptions'!M168</x:f>
        <x:v>0</x:v>
      </x:c>
      <x:c r="N14" s="16" t="n">
        <x:f>'Assumptions'!N168</x:f>
        <x:v>0</x:v>
      </x:c>
      <x:c r="O14" s="16" t="n">
        <x:f>'Assumptions'!O168</x:f>
        <x:v>0</x:v>
      </x:c>
      <x:c r="P14" s="16" t="n">
        <x:f>'Assumptions'!P168</x:f>
        <x:v>0</x:v>
      </x:c>
      <x:c r="Q14" s="16" t="n">
        <x:f>'Assumptions'!Q168</x:f>
        <x:v>0</x:v>
      </x:c>
      <x:c r="R14" s="16" t="n">
        <x:f>'Assumptions'!R168</x:f>
        <x:v>0</x:v>
      </x:c>
      <x:c r="S14" s="16" t="n">
        <x:f>'Assumptions'!S168</x:f>
        <x:v>0</x:v>
      </x:c>
    </x:row>
    <x:row r="15">
      <x:c r="B15" s="3" t="str">
        <x:v>Pretax income ($m)</x:v>
      </x:c>
      <x:c r="C15" s="3"/>
      <x:c r="D15" s="3"/>
      <x:c r="E15" s="3"/>
      <x:c r="F15" s="3"/>
      <x:c r="G15" s="3"/>
      <x:c r="H15" s="16" t="n">
        <x:f>H12+H14</x:f>
        <x:v>644.6329319484366</x:v>
      </x:c>
      <x:c r="I15" s="16" t="n">
        <x:f>I12+I14</x:f>
        <x:v>592.1829757800289</x:v>
      </x:c>
      <x:c r="J15" s="16" t="n">
        <x:f>J12+J14</x:f>
        <x:v>605.7060346751518</x:v>
      </x:c>
      <x:c r="K15" s="16" t="n">
        <x:f>K12+K14</x:f>
        <x:v>655.5134876318256</x:v>
      </x:c>
      <x:c r="L15" s="16" t="n">
        <x:f>L12+L14</x:f>
        <x:v>636.0951350724083</x:v>
      </x:c>
      <x:c r="M15" s="16" t="n">
        <x:f>M12+M14</x:f>
        <x:v>655.4833699452793</x:v>
      </x:c>
      <x:c r="N15" s="16" t="n">
        <x:f>N12+N14</x:f>
        <x:v>665.9506743184038</x:v>
      </x:c>
      <x:c r="O15" s="16" t="n">
        <x:f>O12+O14</x:f>
        <x:v>713.2136553046873</x:v>
      </x:c>
      <x:c r="P15" s="16" t="n">
        <x:f>P12+P14</x:f>
        <x:v>691.3148219510138</x:v>
      </x:c>
      <x:c r="Q15" s="16" t="n">
        <x:f>Q12+Q14</x:f>
        <x:v>708.2974448891944</x:v>
      </x:c>
      <x:c r="R15" s="16" t="n">
        <x:f>R12+R14</x:f>
        <x:v>716.2636025375241</x:v>
      </x:c>
      <x:c r="S15" s="16" t="n">
        <x:f>S12+S14</x:f>
        <x:v>760.8067310373418</x:v>
      </x:c>
    </x:row>
    <x:row r="16">
      <x:c r="B16" s="3" t="str">
        <x:v>Income tax expense ($m)</x:v>
      </x:c>
      <x:c r="C16" s="3"/>
      <x:c r="D16" s="3"/>
      <x:c r="E16" s="3"/>
      <x:c r="F16" s="3"/>
      <x:c r="G16" s="3"/>
      <x:c r="H16" s="16" t="n">
        <x:f>MAX(0,H15)*'Assumptions'!H100/100</x:f>
        <x:v>128.92658638968732</x:v>
      </x:c>
      <x:c r="I16" s="16" t="n">
        <x:f>MAX(0,I15)*'Assumptions'!I100/100</x:f>
        <x:v>118.43659515600577</x:v>
      </x:c>
      <x:c r="J16" s="16" t="n">
        <x:f>MAX(0,J15)*'Assumptions'!J100/100</x:f>
        <x:v>121.14120693503037</x:v>
      </x:c>
      <x:c r="K16" s="16" t="n">
        <x:f>MAX(0,K15)*'Assumptions'!K100/100</x:f>
        <x:v>131.10269752636512</x:v>
      </x:c>
      <x:c r="L16" s="16" t="n">
        <x:f>MAX(0,L15)*'Assumptions'!L100/100</x:f>
        <x:v>127.21902701448165</x:v>
      </x:c>
      <x:c r="M16" s="16" t="n">
        <x:f>MAX(0,M15)*'Assumptions'!M100/100</x:f>
        <x:v>131.09667398905586</x:v>
      </x:c>
      <x:c r="N16" s="16" t="n">
        <x:f>MAX(0,N15)*'Assumptions'!N100/100</x:f>
        <x:v>133.19013486368075</x:v>
      </x:c>
      <x:c r="O16" s="16" t="n">
        <x:f>MAX(0,O15)*'Assumptions'!O100/100</x:f>
        <x:v>142.64273106093748</x:v>
      </x:c>
      <x:c r="P16" s="16" t="n">
        <x:f>MAX(0,P15)*'Assumptions'!P100/100</x:f>
        <x:v>138.26296439020277</x:v>
      </x:c>
      <x:c r="Q16" s="16" t="n">
        <x:f>MAX(0,Q15)*'Assumptions'!Q100/100</x:f>
        <x:v>141.6594889778389</x:v>
      </x:c>
      <x:c r="R16" s="16" t="n">
        <x:f>MAX(0,R15)*'Assumptions'!R100/100</x:f>
        <x:v>143.25272050750482</x:v>
      </x:c>
      <x:c r="S16" s="16" t="n">
        <x:f>MAX(0,S15)*'Assumptions'!S100/100</x:f>
        <x:v>152.16134620746837</x:v>
      </x:c>
    </x:row>
    <x:row r="17">
      <x:c r="B17" s="13" t="str">
        <x:v>Net income ($m)</x:v>
      </x:c>
      <x:c r="C17" s="13"/>
      <x:c r="D17" s="13"/>
      <x:c r="E17" s="13"/>
      <x:c r="F17" s="13"/>
      <x:c r="G17" s="13"/>
      <x:c r="H17" s="17" t="n">
        <x:f>H15-H16</x:f>
        <x:v>515.7063455587493</x:v>
      </x:c>
      <x:c r="I17" s="17" t="n">
        <x:f>I15-I16</x:f>
        <x:v>473.7463806240231</x:v>
      </x:c>
      <x:c r="J17" s="17" t="n">
        <x:f>J15-J16</x:f>
        <x:v>484.5648277401215</x:v>
      </x:c>
      <x:c r="K17" s="17" t="n">
        <x:f>K15-K16</x:f>
        <x:v>524.4107901054605</x:v>
      </x:c>
      <x:c r="L17" s="17" t="n">
        <x:f>L15-L16</x:f>
        <x:v>508.8761080579267</x:v>
      </x:c>
      <x:c r="M17" s="17" t="n">
        <x:f>M15-M16</x:f>
        <x:v>524.3866959562234</x:v>
      </x:c>
      <x:c r="N17" s="17" t="n">
        <x:f>N15-N16</x:f>
        <x:v>532.760539454723</x:v>
      </x:c>
      <x:c r="O17" s="17" t="n">
        <x:f>O15-O16</x:f>
        <x:v>570.5709242437499</x:v>
      </x:c>
      <x:c r="P17" s="17" t="n">
        <x:f>P15-P16</x:f>
        <x:v>553.051857560811</x:v>
      </x:c>
      <x:c r="Q17" s="17" t="n">
        <x:f>Q15-Q16</x:f>
        <x:v>566.6379559113554</x:v>
      </x:c>
      <x:c r="R17" s="17" t="n">
        <x:f>R15-R16</x:f>
        <x:v>573.0108820300193</x:v>
      </x:c>
      <x:c r="S17" s="17" t="n">
        <x:f>S15-S16</x:f>
        <x:v>608.6453848298735</x:v>
      </x:c>
    </x:row>
    <x:row r="18">
      <x:c r="B18" s="3" t="str">
        <x:v>SBC adjustment ($m)</x:v>
      </x:c>
      <x:c r="C18" s="3"/>
      <x:c r="D18" s="3"/>
      <x:c r="E18" s="3"/>
      <x:c r="F18" s="3"/>
      <x:c r="G18" s="3"/>
      <x:c r="H18" s="16" t="n">
        <x:f>'Assumptions'!H208</x:f>
        <x:v>80</x:v>
      </x:c>
      <x:c r="I18" s="16" t="n">
        <x:f>'Assumptions'!I208</x:f>
        <x:v>81</x:v>
      </x:c>
      <x:c r="J18" s="16" t="n">
        <x:f>'Assumptions'!J208</x:f>
        <x:v>82</x:v>
      </x:c>
      <x:c r="K18" s="16" t="n">
        <x:f>'Assumptions'!K208</x:f>
        <x:v>83</x:v>
      </x:c>
      <x:c r="L18" s="16" t="n">
        <x:f>'Assumptions'!L208</x:f>
        <x:v>84</x:v>
      </x:c>
      <x:c r="M18" s="16" t="n">
        <x:f>'Assumptions'!M208</x:f>
        <x:v>85</x:v>
      </x:c>
      <x:c r="N18" s="16" t="n">
        <x:f>'Assumptions'!N208</x:f>
        <x:v>86</x:v>
      </x:c>
      <x:c r="O18" s="16" t="n">
        <x:f>'Assumptions'!O208</x:f>
        <x:v>87</x:v>
      </x:c>
      <x:c r="P18" s="16" t="n">
        <x:f>'Assumptions'!P208</x:f>
        <x:v>88</x:v>
      </x:c>
      <x:c r="Q18" s="16" t="n">
        <x:f>'Assumptions'!Q208</x:f>
        <x:v>89</x:v>
      </x:c>
      <x:c r="R18" s="16" t="n">
        <x:f>'Assumptions'!R208</x:f>
        <x:v>90</x:v>
      </x:c>
      <x:c r="S18" s="16" t="n">
        <x:f>'Assumptions'!S208</x:f>
        <x:v>91</x:v>
      </x:c>
    </x:row>
    <x:row r="19">
      <x:c r="B19" s="3" t="str">
        <x:v>D&amp;A adjustment ($m)</x:v>
      </x:c>
      <x:c r="C19" s="3"/>
      <x:c r="D19" s="3"/>
      <x:c r="E19" s="3"/>
      <x:c r="F19" s="3"/>
      <x:c r="G19" s="3"/>
      <x:c r="H19" s="16" t="n">
        <x:f>'Assumptions'!H96</x:f>
        <x:v>23</x:v>
      </x:c>
      <x:c r="I19" s="16" t="n">
        <x:f>'Assumptions'!I96</x:f>
        <x:v>23.5</x:v>
      </x:c>
      <x:c r="J19" s="16" t="n">
        <x:f>'Assumptions'!J96</x:f>
        <x:v>24</x:v>
      </x:c>
      <x:c r="K19" s="16" t="n">
        <x:f>'Assumptions'!K96</x:f>
        <x:v>24.5</x:v>
      </x:c>
      <x:c r="L19" s="16" t="n">
        <x:f>'Assumptions'!L96</x:f>
        <x:v>25</x:v>
      </x:c>
      <x:c r="M19" s="16" t="n">
        <x:f>'Assumptions'!M96</x:f>
        <x:v>25.5</x:v>
      </x:c>
      <x:c r="N19" s="16" t="n">
        <x:f>'Assumptions'!N96</x:f>
        <x:v>26</x:v>
      </x:c>
      <x:c r="O19" s="16" t="n">
        <x:f>'Assumptions'!O96</x:f>
        <x:v>26.5</x:v>
      </x:c>
      <x:c r="P19" s="16" t="n">
        <x:f>'Assumptions'!P96</x:f>
        <x:v>27</x:v>
      </x:c>
      <x:c r="Q19" s="16" t="n">
        <x:f>'Assumptions'!Q96</x:f>
        <x:v>27.5</x:v>
      </x:c>
      <x:c r="R19" s="16" t="n">
        <x:f>'Assumptions'!R96</x:f>
        <x:v>28</x:v>
      </x:c>
      <x:c r="S19" s="16" t="n">
        <x:f>'Assumptions'!S96</x:f>
        <x:v>28.5</x:v>
      </x:c>
    </x:row>
    <x:row r="20">
      <x:c r="B20" s="3" t="str">
        <x:v>Debt-interest addback ($m)</x:v>
      </x:c>
      <x:c r="C20" s="3"/>
      <x:c r="D20" s="3"/>
      <x:c r="E20" s="3"/>
      <x:c r="F20" s="3"/>
      <x:c r="G20" s="3"/>
      <x:c r="H20" s="16" t="n">
        <x:f>'Assumptions'!H92</x:f>
        <x:v>10</x:v>
      </x:c>
      <x:c r="I20" s="16" t="n">
        <x:f>'Assumptions'!I92</x:f>
        <x:v>10</x:v>
      </x:c>
      <x:c r="J20" s="16" t="n">
        <x:f>'Assumptions'!J92</x:f>
        <x:v>10</x:v>
      </x:c>
      <x:c r="K20" s="16" t="n">
        <x:f>'Assumptions'!K92</x:f>
        <x:v>10</x:v>
      </x:c>
      <x:c r="L20" s="16" t="n">
        <x:f>'Assumptions'!L92</x:f>
        <x:v>10</x:v>
      </x:c>
      <x:c r="M20" s="16" t="n">
        <x:f>'Assumptions'!M92</x:f>
        <x:v>10</x:v>
      </x:c>
      <x:c r="N20" s="16" t="n">
        <x:f>'Assumptions'!N92</x:f>
        <x:v>10</x:v>
      </x:c>
      <x:c r="O20" s="16" t="n">
        <x:f>'Assumptions'!O92</x:f>
        <x:v>10</x:v>
      </x:c>
      <x:c r="P20" s="16" t="n">
        <x:f>'Assumptions'!P92</x:f>
        <x:v>10</x:v>
      </x:c>
      <x:c r="Q20" s="16" t="n">
        <x:f>'Assumptions'!Q92</x:f>
        <x:v>10</x:v>
      </x:c>
      <x:c r="R20" s="16" t="n">
        <x:f>'Assumptions'!R92</x:f>
        <x:v>10</x:v>
      </x:c>
      <x:c r="S20" s="16" t="n">
        <x:f>'Assumptions'!S92</x:f>
        <x:v>10</x:v>
      </x:c>
    </x:row>
    <x:row r="21">
      <x:c r="B21" s="13" t="str">
        <x:v>ADJUSTED EBITDA ($m)</x:v>
      </x:c>
      <x:c r="C21" s="13"/>
      <x:c r="D21" s="13"/>
      <x:c r="E21" s="13"/>
      <x:c r="F21" s="13"/>
      <x:c r="G21" s="13"/>
      <x:c r="H21" s="17" t="n">
        <x:f>SUM(H17,H16,H18:H20)-H14</x:f>
        <x:v>757.6329319484366</x:v>
      </x:c>
      <x:c r="I21" s="17" t="n">
        <x:f>SUM(I17,I16,I18:I20)-I14</x:f>
        <x:v>706.6829757800289</x:v>
      </x:c>
      <x:c r="J21" s="17" t="n">
        <x:f>SUM(J17,J16,J18:J20)-J14</x:f>
        <x:v>721.7060346751518</x:v>
      </x:c>
      <x:c r="K21" s="17" t="n">
        <x:f>SUM(K17,K16,K18:K20)-K14</x:f>
        <x:v>773.0134876318256</x:v>
      </x:c>
      <x:c r="L21" s="17" t="n">
        <x:f>SUM(L17,L16,L18:L20)-L14</x:f>
        <x:v>755.0951350724083</x:v>
      </x:c>
      <x:c r="M21" s="17" t="n">
        <x:f>SUM(M17,M16,M18:M20)-M14</x:f>
        <x:v>775.9833699452793</x:v>
      </x:c>
      <x:c r="N21" s="17" t="n">
        <x:f>SUM(N17,N16,N18:N20)-N14</x:f>
        <x:v>787.9506743184038</x:v>
      </x:c>
      <x:c r="O21" s="17" t="n">
        <x:f>SUM(O17,O16,O18:O20)-O14</x:f>
        <x:v>836.7136553046873</x:v>
      </x:c>
      <x:c r="P21" s="17" t="n">
        <x:f>SUM(P17,P16,P18:P20)-P14</x:f>
        <x:v>816.3148219510138</x:v>
      </x:c>
      <x:c r="Q21" s="17" t="n">
        <x:f>SUM(Q17,Q16,Q18:Q20)-Q14</x:f>
        <x:v>834.7974448891944</x:v>
      </x:c>
      <x:c r="R21" s="17" t="n">
        <x:f>SUM(R17,R16,R18:R20)-R14</x:f>
        <x:v>844.2636025375241</x:v>
      </x:c>
      <x:c r="S21" s="17" t="n">
        <x:f>SUM(S17,S16,S18:S20)-S14</x:f>
        <x:v>890.3067310373418</x:v>
      </x:c>
    </x:row>
    <x:row r="22">
      <x:c r="B22" s="3" t="str">
        <x:v>Adjusted EBITDA margin (%)</x:v>
      </x:c>
      <x:c r="C22" s="3"/>
      <x:c r="D22" s="3"/>
      <x:c r="E22" s="3"/>
      <x:c r="F22" s="3"/>
      <x:c r="G22" s="3"/>
      <x:c r="H22" s="18" t="n">
        <x:f>H21/H10</x:f>
        <x:v>0.5290696739671714</x:v>
      </x:c>
      <x:c r="I22" s="18" t="n">
        <x:f>I21/I10</x:f>
        <x:v>0.5104972666486601</x:v>
      </x:c>
      <x:c r="J22" s="18" t="n">
        <x:f>J21/J10</x:f>
        <x:v>0.5111148276028884</x:v>
      </x:c>
      <x:c r="K22" s="18" t="n">
        <x:f>K21/K10</x:f>
        <x:v>0.5235804653872497</x:v>
      </x:c>
      <x:c r="L22" s="18" t="n">
        <x:f>L21/L10</x:f>
        <x:v>0.5130462480660182</x:v>
      </x:c>
      <x:c r="M22" s="18" t="n">
        <x:f>M21/M10</x:f>
        <x:v>0.5152382557501927</x:v>
      </x:c>
      <x:c r="N22" s="18" t="n">
        <x:f>N21/N10</x:f>
        <x:v>0.5145523018050606</x:v>
      </x:c>
      <x:c r="O22" s="18" t="n">
        <x:f>O21/O10</x:f>
        <x:v>0.5252086593479892</x:v>
      </x:c>
      <x:c r="P22" s="18" t="n">
        <x:f>P21/P10</x:f>
        <x:v>0.5149506859013553</x:v>
      </x:c>
      <x:c r="Q22" s="18" t="n">
        <x:f>Q21/Q10</x:f>
        <x:v>0.5167316267041456</x:v>
      </x:c>
      <x:c r="R22" s="18" t="n">
        <x:f>R21/R10</x:f>
        <x:v>0.5160788246004495</x:v>
      </x:c>
      <x:c r="S22" s="18" t="n">
        <x:f>S21/S10</x:f>
        <x:v>0.5258055117297803</x:v>
      </x:c>
    </x:row>
    <x:row r="23">
      <x:c r="B23" s="3" t="str">
        <x:v>Derived annualized ARPU ($)</x:v>
      </x:c>
      <x:c r="C23" s="3"/>
      <x:c r="D23" s="3"/>
      <x:c r="E23" s="3"/>
      <x:c r="F23" s="3"/>
      <x:c r="G23" s="3"/>
      <x:c r="H23" s="16" t="n">
        <x:f>4*H10/'Revenue Drivers'!H13</x:f>
        <x:v>200.6318389845887</x:v>
      </x:c>
      <x:c r="I23" s="16" t="n">
        <x:f>4*I10/'Revenue Drivers'!I13</x:f>
        <x:v>191.93111305683775</x:v>
      </x:c>
      <x:c r="J23" s="16" t="n">
        <x:f>4*J10/'Revenue Drivers'!J13</x:f>
        <x:v>193.75962658274958</x:v>
      </x:c>
      <x:c r="K23" s="16" t="n">
        <x:f>4*K10/'Revenue Drivers'!K13</x:f>
        <x:v>200.52952681190956</x:v>
      </x:c>
      <x:c r="L23" s="16" t="n">
        <x:f>4*L10/'Revenue Drivers'!L13</x:f>
        <x:v>197.88741598826076</x:v>
      </x:c>
      <x:c r="M23" s="16" t="n">
        <x:f>4*M10/'Revenue Drivers'!M13</x:f>
        <x:v>200.4748179069289</x:v>
      </x:c>
      <x:c r="N23" s="16" t="n">
        <x:f>4*N10/'Revenue Drivers'!N13</x:f>
        <x:v>201.8230672253127</x:v>
      </x:c>
      <x:c r="O23" s="16" t="n">
        <x:f>4*O10/'Revenue Drivers'!O13</x:f>
        <x:v>207.90957535592526</x:v>
      </x:c>
      <x:c r="P23" s="16" t="n">
        <x:f>4*P10/'Revenue Drivers'!P13</x:f>
        <x:v>204.87613811092598</x:v>
      </x:c>
      <x:c r="Q23" s="16" t="n">
        <x:f>4*Q10/'Revenue Drivers'!Q13</x:f>
        <x:v>206.78833542154388</x:v>
      </x:c>
      <x:c r="R23" s="16" t="n">
        <x:f>4*R10/'Revenue Drivers'!R13</x:f>
        <x:v>207.40663934632457</x:v>
      </x:c>
      <x:c r="S23" s="16" t="n">
        <x:f>4*S10/'Revenue Drivers'!S13</x:f>
        <x:v>212.64984828486467</x:v>
      </x:c>
    </x:row>
    <x:row r="24">
      <x:c r="B24" s="3" t="str">
        <x:v>Ending funded customers (m)</x:v>
      </x:c>
      <x:c r="C24" s="3"/>
      <x:c r="D24" s="3"/>
      <x:c r="E24" s="3"/>
      <x:c r="F24" s="3"/>
      <x:c r="G24" s="3"/>
      <x:c r="H24" s="16" t="n">
        <x:f>'Revenue Drivers'!H12</x:f>
        <x:v>28.700000000000003</x:v>
      </x:c>
      <x:c r="I24" s="16" t="n">
        <x:f>'Revenue Drivers'!I12</x:f>
        <x:v>29.000000000000004</x:v>
      </x:c>
      <x:c r="J24" s="16" t="n">
        <x:f>'Revenue Drivers'!J12</x:f>
        <x:v>29.300000000000004</x:v>
      </x:c>
      <x:c r="K24" s="16" t="n">
        <x:f>'Revenue Drivers'!K12</x:f>
        <x:v>29.600000000000005</x:v>
      </x:c>
      <x:c r="L24" s="16" t="n">
        <x:f>'Revenue Drivers'!L12</x:f>
        <x:v>29.900000000000006</x:v>
      </x:c>
      <x:c r="M24" s="16" t="n">
        <x:f>'Revenue Drivers'!M12</x:f>
        <x:v>30.200000000000006</x:v>
      </x:c>
      <x:c r="N24" s="16" t="n">
        <x:f>'Revenue Drivers'!N12</x:f>
        <x:v>30.500000000000007</x:v>
      </x:c>
      <x:c r="O24" s="16" t="n">
        <x:f>'Revenue Drivers'!O12</x:f>
        <x:v>30.800000000000008</x:v>
      </x:c>
      <x:c r="P24" s="16" t="n">
        <x:f>'Revenue Drivers'!P12</x:f>
        <x:v>31.10000000000001</x:v>
      </x:c>
      <x:c r="Q24" s="16" t="n">
        <x:f>'Revenue Drivers'!Q12</x:f>
        <x:v>31.40000000000001</x:v>
      </x:c>
      <x:c r="R24" s="16" t="n">
        <x:f>'Revenue Drivers'!R12</x:f>
        <x:v>31.70000000000001</x:v>
      </x:c>
      <x:c r="S24" s="16" t="n">
        <x:f>'Revenue Drivers'!S12</x:f>
        <x:v>32.00000000000001</x:v>
      </x:c>
    </x:row>
    <x:row r="25">
      <x:c r="B25" s="3" t="str">
        <x:v>Ending platform assets ($b)</x:v>
      </x:c>
      <x:c r="C25" s="3"/>
      <x:c r="D25" s="3"/>
      <x:c r="E25" s="3"/>
      <x:c r="F25" s="3"/>
      <x:c r="G25" s="3"/>
      <x:c r="H25" s="16" t="n">
        <x:f>'Revenue Drivers'!H20</x:f>
        <x:v>388.5</x:v>
      </x:c>
      <x:c r="I25" s="16" t="n">
        <x:f>'Revenue Drivers'!I20</x:f>
        <x:v>406.2</x:v>
      </x:c>
      <x:c r="J25" s="16" t="n">
        <x:f>'Revenue Drivers'!J20</x:f>
        <x:v>423.9</x:v>
      </x:c>
      <x:c r="K25" s="16" t="n">
        <x:f>'Revenue Drivers'!K20</x:f>
        <x:v>441.59999999999997</x:v>
      </x:c>
      <x:c r="L25" s="16" t="n">
        <x:f>'Revenue Drivers'!L20</x:f>
        <x:v>459.29999999999995</x:v>
      </x:c>
      <x:c r="M25" s="16" t="n">
        <x:f>'Revenue Drivers'!M20</x:f>
        <x:v>476.99999999999994</x:v>
      </x:c>
      <x:c r="N25" s="16" t="n">
        <x:f>'Revenue Drivers'!N20</x:f>
        <x:v>494.69999999999993</x:v>
      </x:c>
      <x:c r="O25" s="16" t="n">
        <x:f>'Revenue Drivers'!O20</x:f>
        <x:v>512.4</x:v>
      </x:c>
      <x:c r="P25" s="16" t="n">
        <x:f>'Revenue Drivers'!P20</x:f>
        <x:v>530.1</x:v>
      </x:c>
      <x:c r="Q25" s="16" t="n">
        <x:f>'Revenue Drivers'!Q20</x:f>
        <x:v>547.8000000000001</x:v>
      </x:c>
      <x:c r="R25" s="16" t="n">
        <x:f>'Revenue Drivers'!R20</x:f>
        <x:v>565.5000000000001</x:v>
      </x:c>
      <x:c r="S25" s="16" t="n">
        <x:f>'Revenue Drivers'!S20</x:f>
        <x:v>583.2000000000002</x:v>
      </x:c>
    </x:row>
    <x:row r="26">
      <x:c r="B26" s="3" t="str">
        <x:v>Net deposits ($b)</x:v>
      </x:c>
      <x:c r="C26" s="3"/>
      <x:c r="D26" s="3"/>
      <x:c r="E26" s="3"/>
      <x:c r="F26" s="3"/>
      <x:c r="G26" s="3"/>
      <x:c r="H26" s="16" t="n">
        <x:f>'Revenue Drivers'!H16</x:f>
        <x:v>14.399999999999999</x:v>
      </x:c>
      <x:c r="I26" s="16" t="n">
        <x:f>'Revenue Drivers'!I16</x:f>
        <x:v>17.7</x:v>
      </x:c>
      <x:c r="J26" s="16" t="n">
        <x:f>'Revenue Drivers'!J16</x:f>
        <x:v>17.7</x:v>
      </x:c>
      <x:c r="K26" s="16" t="n">
        <x:f>'Revenue Drivers'!K16</x:f>
        <x:v>17.7</x:v>
      </x:c>
      <x:c r="L26" s="16" t="n">
        <x:f>'Revenue Drivers'!L16</x:f>
        <x:v>17.7</x:v>
      </x:c>
      <x:c r="M26" s="16" t="n">
        <x:f>'Revenue Drivers'!M16</x:f>
        <x:v>17.7</x:v>
      </x:c>
      <x:c r="N26" s="16" t="n">
        <x:f>'Revenue Drivers'!N16</x:f>
        <x:v>17.7</x:v>
      </x:c>
      <x:c r="O26" s="16" t="n">
        <x:f>'Revenue Drivers'!O16</x:f>
        <x:v>17.7</x:v>
      </x:c>
      <x:c r="P26" s="16" t="n">
        <x:f>'Revenue Drivers'!P16</x:f>
        <x:v>17.7</x:v>
      </x:c>
      <x:c r="Q26" s="16" t="n">
        <x:f>'Revenue Drivers'!Q16</x:f>
        <x:v>17.7</x:v>
      </x:c>
      <x:c r="R26" s="16" t="n">
        <x:f>'Revenue Drivers'!R16</x:f>
        <x:v>17.7</x:v>
      </x:c>
      <x:c r="S26" s="16" t="n">
        <x:f>'Revenue Drivers'!S16</x:f>
        <x:v>17.7</x:v>
      </x:c>
    </x:row>
    <x:row r="27">
      <x:c r="B27" s="3"/>
      <x:c r="C27" s="3"/>
      <x:c r="D27" s="3"/>
      <x:c r="E27" s="3"/>
      <x:c r="F27" s="3"/>
      <x:c r="G27" s="3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</x:row>
    <x:row r="28">
      <x:c r="B28" s="3"/>
      <x:c r="C28" s="3"/>
      <x:c r="D28" s="3"/>
      <x:c r="E28" s="3"/>
      <x:c r="F28" s="3"/>
      <x:c r="G28" s="3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</x:row>
    <x:row r="29">
      <x:c r="B29" s="3" t="str">
        <x:v>Revenue less component sum (check)</x:v>
      </x:c>
      <x:c r="C29" s="3"/>
      <x:c r="D29" s="3"/>
      <x:c r="E29" s="3"/>
      <x:c r="F29" s="3"/>
      <x:c r="G29" s="3"/>
      <x:c r="H29" s="19" t="n">
        <x:f>H10-SUM('Revenue Drivers'!H47,'Revenue Drivers'!H69,'Revenue Drivers'!H76)</x:f>
        <x:v>0</x:v>
      </x:c>
      <x:c r="I29" s="19" t="n">
        <x:f>I10-SUM('Revenue Drivers'!I47,'Revenue Drivers'!I69,'Revenue Drivers'!I76)</x:f>
        <x:v>0</x:v>
      </x:c>
      <x:c r="J29" s="19" t="n">
        <x:f>J10-SUM('Revenue Drivers'!J47,'Revenue Drivers'!J69,'Revenue Drivers'!J76)</x:f>
        <x:v>0</x:v>
      </x:c>
      <x:c r="K29" s="19" t="n">
        <x:f>K10-SUM('Revenue Drivers'!K47,'Revenue Drivers'!K69,'Revenue Drivers'!K76)</x:f>
        <x:v>0</x:v>
      </x:c>
      <x:c r="L29" s="19" t="n">
        <x:f>L10-SUM('Revenue Drivers'!L47,'Revenue Drivers'!L69,'Revenue Drivers'!L76)</x:f>
        <x:v>0</x:v>
      </x:c>
      <x:c r="M29" s="19" t="n">
        <x:f>M10-SUM('Revenue Drivers'!M47,'Revenue Drivers'!M69,'Revenue Drivers'!M76)</x:f>
        <x:v>0</x:v>
      </x:c>
      <x:c r="N29" s="19" t="n">
        <x:f>N10-SUM('Revenue Drivers'!N47,'Revenue Drivers'!N69,'Revenue Drivers'!N76)</x:f>
        <x:v>0</x:v>
      </x:c>
      <x:c r="O29" s="19" t="n">
        <x:f>O10-SUM('Revenue Drivers'!O47,'Revenue Drivers'!O69,'Revenue Drivers'!O76)</x:f>
        <x:v>0</x:v>
      </x:c>
      <x:c r="P29" s="19" t="n">
        <x:f>P10-SUM('Revenue Drivers'!P47,'Revenue Drivers'!P69,'Revenue Drivers'!P76)</x:f>
        <x:v>0</x:v>
      </x:c>
      <x:c r="Q29" s="19" t="n">
        <x:f>Q10-SUM('Revenue Drivers'!Q47,'Revenue Drivers'!Q69,'Revenue Drivers'!Q76)</x:f>
        <x:v>0</x:v>
      </x:c>
      <x:c r="R29" s="19" t="n">
        <x:f>R10-SUM('Revenue Drivers'!R47,'Revenue Drivers'!R69,'Revenue Drivers'!R76)</x:f>
        <x:v>0</x:v>
      </x:c>
      <x:c r="S29" s="19" t="n">
        <x:f>S10-SUM('Revenue Drivers'!S47,'Revenue Drivers'!S69,'Revenue Drivers'!S76)</x:f>
        <x:v>0</x:v>
      </x:c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Scenario reference · refreshed by build command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Selected live case is on Forecast; the tables below are build-time snapshots.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 t="str">
        <x:v>Case</x:v>
      </x:c>
      <x:c r="C7" s="6" t="str">
        <x:v>Year</x:v>
      </x:c>
      <x:c r="D7" s="6" t="str">
        <x:v>Revenue ($m)</x:v>
      </x:c>
      <x:c r="E7" s="6" t="str">
        <x:v>Operating income ($m)</x:v>
      </x:c>
      <x:c r="F7" s="6" t="str">
        <x:v>Operating margin</x:v>
      </x:c>
      <x:c r="G7" s="6" t="str">
        <x:v>Adjusted EBITDA ($m)</x:v>
      </x:c>
      <x:c r="H7" s="6" t="str">
        <x:v>Funded customers (m)</x:v>
      </x:c>
      <x:c r="I7" s="6" t="str">
        <x:v>Assets ($b)</x:v>
      </x:c>
      <x:c r="J7" s="3"/>
      <x:c r="K7" s="3"/>
      <x:c r="L7" s="3"/>
      <x:c r="M7" s="3"/>
      <x:c r="N7" s="3"/>
      <x:c r="O7" s="3"/>
      <x:c r="P7" s="3"/>
      <x:c r="Q7" s="3"/>
      <x:c r="R7" s="3"/>
      <x:c r="S7" s="3"/>
    </x:row>
    <x:row r="8">
      <x:c r="B8" s="3" t="str">
        <x:v>Base</x:v>
      </x:c>
      <x:c r="C8" s="16" t="str">
        <x:v>2026</x:v>
      </x:c>
      <x:c r="D8" s="16" t="n">
        <x:v>5191.312903674944</x:v>
      </x:c>
      <x:c r="E8" s="16" t="n">
        <x:v>2221.8159077284654</x:v>
      </x:c>
      <x:c r="F8" s="18" t="n">
        <x:v>0.42798728355511684</x:v>
      </x:c>
      <x:c r="G8" s="16" t="n">
        <x:v>2675.3159077284654</x:v>
      </x:c>
      <x:c r="H8" s="16" t="n">
        <x:v>29.000000000000004</x:v>
      </x:c>
      <x:c r="I8" s="16" t="n">
        <x:v>406.19999999999993</x:v>
      </x:c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>
      <x:c r="B9" s="3" t="str">
        <x:v>Base</x:v>
      </x:c>
      <x:c r="C9" s="16" t="str">
        <x:v>2027</x:v>
      </x:c>
      <x:c r="D9" s="16" t="n">
        <x:v>5866.276645812965</x:v>
      </x:c>
      <x:c r="E9" s="16" t="n">
        <x:v>2552.7980273246653</x:v>
      </x:c>
      <x:c r="F9" s="18" t="n">
        <x:v>0.4351649575112889</x:v>
      </x:c>
      <x:c r="G9" s="16" t="n">
        <x:v>3025.7980273246653</x:v>
      </x:c>
      <x:c r="H9" s="16" t="n">
        <x:v>30.200000000000006</x:v>
      </x:c>
      <x:c r="I9" s="16" t="n">
        <x:v>476.9999999999999</x:v>
      </x:c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>
      <x:c r="B10" s="3" t="str">
        <x:v>Base</x:v>
      </x:c>
      <x:c r="C10" s="16" t="str">
        <x:v>2028</x:v>
      </x:c>
      <x:c r="D10" s="16" t="n">
        <x:v>6325.20263285094</x:v>
      </x:c>
      <x:c r="E10" s="16" t="n">
        <x:v>2778.7765964632995</x:v>
      </x:c>
      <x:c r="F10" s="18" t="n">
        <x:v>0.43931819386011184</x:v>
      </x:c>
      <x:c r="G10" s="16" t="n">
        <x:v>3275.7765964632995</x:v>
      </x:c>
      <x:c r="H10" s="16" t="n">
        <x:v>31.40000000000001</x:v>
      </x:c>
      <x:c r="I10" s="16" t="n">
        <x:v>547.8</x:v>
      </x:c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>
      <x:c r="B11" s="3" t="str">
        <x:v>Upside</x:v>
      </x:c>
      <x:c r="C11" s="16" t="str">
        <x:v>2026</x:v>
      </x:c>
      <x:c r="D11" s="16" t="n">
        <x:v>5390.465310947329</x:v>
      </x:c>
      <x:c r="E11" s="16" t="n">
        <x:v>2395.4485494838136</x:v>
      </x:c>
      <x:c r="F11" s="18" t="n">
        <x:v>0.4443862285170394</x:v>
      </x:c>
      <x:c r="G11" s="16" t="n">
        <x:v>2849.9485494838136</x:v>
      </x:c>
      <x:c r="H11" s="16" t="n">
        <x:v>29.3</x:v>
      </x:c>
      <x:c r="I11" s="16" t="n">
        <x:v>418.76836999999995</x:v>
      </x:c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>
      <x:c r="B12" s="3" t="str">
        <x:v>Upside</x:v>
      </x:c>
      <x:c r="C12" s="16" t="str">
        <x:v>2027</x:v>
      </x:c>
      <x:c r="D12" s="16" t="n">
        <x:v>6739.703688182614</x:v>
      </x:c>
      <x:c r="E12" s="16" t="n">
        <x:v>3290.0904886059975</x:v>
      </x:c>
      <x:c r="F12" s="18" t="n">
        <x:v>0.488165450711852</x:v>
      </x:c>
      <x:c r="G12" s="16" t="n">
        <x:v>3777.0904886059975</x:v>
      </x:c>
      <x:c r="H12" s="16" t="n">
        <x:v>31.099999999999998</x:v>
      </x:c>
      <x:c r="I12" s="16" t="n">
        <x:v>523.8827467831635</x:v>
      </x:c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>
      <x:c r="B13" s="3" t="str">
        <x:v>Upside</x:v>
      </x:c>
      <x:c r="C13" s="16" t="str">
        <x:v>2028</x:v>
      </x:c>
      <x:c r="D13" s="16" t="n">
        <x:v>7547.735579735461</x:v>
      </x:c>
      <x:c r="E13" s="16" t="n">
        <x:v>3696.0039860587476</x:v>
      </x:c>
      <x:c r="F13" s="18" t="n">
        <x:v>0.48968381934072575</x:v>
      </x:c>
      <x:c r="G13" s="16" t="n">
        <x:v>4223.003986058748</x:v>
      </x:c>
      <x:c r="H13" s="16" t="n">
        <x:v>32.9</x:v>
      </x:c>
      <x:c r="I13" s="16" t="n">
        <x:v>633.2651887723746</x:v>
      </x:c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>
      <x:c r="B14" s="3" t="str">
        <x:v>Downside</x:v>
      </x:c>
      <x:c r="C14" s="16" t="str">
        <x:v>2026</x:v>
      </x:c>
      <x:c r="D14" s="16" t="n">
        <x:v>4789.253004946531</x:v>
      </x:c>
      <x:c r="E14" s="16" t="n">
        <x:v>1847.3190180572715</x:v>
      </x:c>
      <x:c r="F14" s="18" t="n">
        <x:v>0.38572174327589015</x:v>
      </x:c>
      <x:c r="G14" s="16" t="n">
        <x:v>2300.8190180572715</x:v>
      </x:c>
      <x:c r="H14" s="16" t="n">
        <x:v>28.75</x:v>
      </x:c>
      <x:c r="I14" s="16" t="n">
        <x:v>393.82437</x:v>
      </x:c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>
      <x:c r="B15" s="3" t="str">
        <x:v>Downside</x:v>
      </x:c>
      <x:c r="C15" s="16" t="str">
        <x:v>2027</x:v>
      </x:c>
      <x:c r="D15" s="16" t="n">
        <x:v>4406.7571209228845</x:v>
      </x:c>
      <x:c r="E15" s="16" t="n">
        <x:v>1249.3767841903577</x:v>
      </x:c>
      <x:c r="F15" s="18" t="n">
        <x:v>0.28351387424063595</x:v>
      </x:c>
      <x:c r="G15" s="16" t="n">
        <x:v>1722.3767841903577</x:v>
      </x:c>
      <x:c r="H15" s="16" t="n">
        <x:v>29.349999999999994</x:v>
      </x:c>
      <x:c r="I15" s="16" t="n">
        <x:v>432.68362466276375</x:v>
      </x:c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>
      <x:c r="B16" s="3" t="str">
        <x:v>Downside</x:v>
      </x:c>
      <x:c r="C16" s="16" t="str">
        <x:v>2028</x:v>
      </x:c>
      <x:c r="D16" s="16" t="n">
        <x:v>4528.287397804423</x:v>
      </x:c>
      <x:c r="E16" s="16" t="n">
        <x:v>1270.5581769628907</x:v>
      </x:c>
      <x:c r="F16" s="18" t="n">
        <x:v>0.2805824951788465</x:v>
      </x:c>
      <x:c r="G16" s="16" t="n">
        <x:v>1767.5581769628907</x:v>
      </x:c>
      <x:c r="H16" s="16" t="n">
        <x:v>29.94999999999999</x:v>
      </x:c>
      <x:c r="I16" s="16" t="n">
        <x:v>470.01166964338853</x:v>
      </x:c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>
      <x:c r="B19" s="3" t="str">
        <x:v>2026 = two reported quarters + two forecast quarters. All 2027–2028 values are analyst scenarios.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</x:row>
    <x:row r="20"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17" hidden="0" customWidth="1"/>
    <x:col min="4" max="4" width="2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5" max="5" width="30" hidden="0" customWidth="1"/>
    <x:col min="6" max="6" width="48" hidden="0" customWidth="1"/>
  </x:cols>
  <x:sheetData>
    <x:row r="2" ht="23" customHeight="1">
      <x:c r="B2" s="1" t="str">
        <x:v>Defined shocks · Base reference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These are isolated model tests, not probabilities. Rate policy excludes Cash Sweep.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 t="str">
        <x:v>Driver</x:v>
      </x:c>
      <x:c r="C7" s="6" t="str">
        <x:v>Shock</x:v>
      </x:c>
      <x:c r="D7" s="6" t="str">
        <x:v>2027 revenue Δ ($m)</x:v>
      </x:c>
      <x:c r="E7" s="6" t="str">
        <x:v>2027 operating income Δ ($m)</x:v>
      </x:c>
      <x:c r="F7" s="6" t="str">
        <x:v>Interpretation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</x:row>
    <x:row r="8">
      <x:c r="B8" s="3" t="str">
        <x:v>Policy rate</x:v>
      </x:c>
      <x:c r="C8" s="3" t="str">
        <x:v>-100 bp</x:v>
      </x:c>
      <x:c r="D8" s="20" t="n">
        <x:v>-264.6943876989153</x:v>
      </x:c>
      <x:c r="E8" s="20" t="n">
        <x:v>-264.6943876989153</x:v>
      </x:c>
      <x:c r="F8" s="3" t="str">
        <x:v>Analyst pass-through; Cash Sweep excluded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>
      <x:c r="B9" s="3" t="str">
        <x:v>All realized yields</x:v>
      </x:c>
      <x:c r="C9" s="3" t="str">
        <x:v>+100 bp</x:v>
      </x:c>
      <x:c r="D9" s="20" t="n">
        <x:v>898.8676988259103</x:v>
      </x:c>
      <x:c r="E9" s="20" t="n">
        <x:v>898.8676988259103</x:v>
      </x:c>
      <x:c r="F9" s="3" t="str">
        <x:v>Broad unit stress; not policy exposure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>
      <x:c r="B10" s="3" t="str">
        <x:v>Transaction monetization</x:v>
      </x:c>
      <x:c r="C10" s="3" t="str">
        <x:v>-20%</x:v>
      </x:c>
      <x:c r="D10" s="20" t="n">
        <x:v>-613.3561973786718</x:v>
      </x:c>
      <x:c r="E10" s="20" t="n">
        <x:v>-613.3561973786718</x:v>
      </x:c>
      <x:c r="F10" s="3" t="str">
        <x:v>All four product unit rates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>
      <x:c r="B11" s="3" t="str">
        <x:v>Options activity</x:v>
      </x:c>
      <x:c r="C11" s="3" t="str">
        <x:v>-20%</x:v>
      </x:c>
      <x:c r="D11" s="20" t="n">
        <x:v>-274.3758958840317</x:v>
      </x:c>
      <x:c r="E11" s="20" t="n">
        <x:v>-264.4640335778631</x:v>
      </x:c>
      <x:c r="F11" s="3" t="str">
        <x:v>Exact isolated model shock</x:v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>
      <x:c r="B12" s="3" t="str">
        <x:v>Technology expense</x:v>
      </x:c>
      <x:c r="C12" s="3" t="str">
        <x:v>+10%</x:v>
      </x:c>
      <x:c r="D12" s="20" t="n">
        <x:v>0</x:v>
      </x:c>
      <x:c r="E12" s="20" t="n">
        <x:v>-115.40000000000009</x:v>
      </x:c>
      <x:c r="F12" s="3" t="str">
        <x:v>Operating income only</x:v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</x:row>
    <x:row r="14"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>
      <x:c r="B16" s="3" t="str">
        <x:v>See data/forecast/sensitivity_results.csv for exact one- and two-variable outcomes.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</x:row>
    <x:row r="20"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9" hidden="0" customWidth="1"/>
    <x:col min="3" max="3" width="17" hidden="0" customWidth="1"/>
    <x:col min="4" max="4" width="16" hidden="0" customWidth="1"/>
    <x:col min="8" max="8" width="56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2" ht="23" customHeight="1">
      <x:c r="B2" s="1" t="str">
        <x:v>Three paths to profitable growth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Case Selected:</x:v>
      </x:c>
      <x:c r="C4" s="15" t="str">
        <x:f>CHOOSE('Assumptions'!$D$4,"Base","Upside","Downside")</x:f>
        <x:v>Base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 t="str">
        <x:v>Path</x:v>
      </x:c>
      <x:c r="C7" s="6"/>
      <x:c r="D7" s="6" t="str">
        <x:v>Defined 2027 revenue Δ</x:v>
      </x:c>
      <x:c r="E7" s="6"/>
      <x:c r="F7" s="6" t="str">
        <x:v>Operating income Δ</x:v>
      </x:c>
      <x:c r="G7" s="6"/>
      <x:c r="H7" s="6" t="str">
        <x:v>Dependency</x:v>
      </x:c>
      <x:c r="I7" s="6"/>
      <x:c r="J7" s="6"/>
      <x:c r="K7" s="6"/>
      <x:c r="L7" s="6"/>
      <x:c r="M7" s="6"/>
      <x:c r="N7" s="3"/>
      <x:c r="O7" s="3"/>
      <x:c r="P7" s="3"/>
      <x:c r="Q7" s="3"/>
      <x:c r="R7" s="3"/>
      <x:c r="S7" s="3"/>
    </x:row>
    <x:row r="8">
      <x:c r="B8" s="3" t="str">
        <x:v>Customer &amp; asset scale</x:v>
      </x:c>
      <x:c r="C8" s="3"/>
      <x:c r="D8" s="16" t="n">
        <x:v>36.58995137290731</x:v>
      </x:c>
      <x:c r="E8" s="16"/>
      <x:c r="F8" s="16" t="n">
        <x:v>8.698227026671702</x:v>
      </x:c>
      <x:c r="G8" s="3"/>
      <x:c r="H8" s="3" t="str">
        <x:v>Customers and deposits must earn revenue without proportionate spending.</x:v>
      </x:c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</x:row>
    <x:row r="9">
      <x:c r="B9" s="3" t="str">
        <x:v>Transaction engagement</x:v>
      </x:c>
      <x:c r="C9" s="3"/>
      <x:c r="D9" s="16" t="n">
        <x:v>274.3758958840326</x:v>
      </x:c>
      <x:c r="E9" s="16"/>
      <x:c r="F9" s="16" t="n">
        <x:v>264.46403357786266</x:v>
      </x:c>
      <x:c r="G9" s="3"/>
      <x:c r="H9" s="3" t="str">
        <x:v>Trading units and realized monetization must hold through weaker market periods.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</x:row>
    <x:row r="10">
      <x:c r="B10" s="3" t="str">
        <x:v>Recurring / balance monetization</x:v>
      </x:c>
      <x:c r="C10" s="3"/>
      <x:c r="D10" s="16" t="n">
        <x:v>85.20451694571693</x:v>
      </x:c>
      <x:c r="E10" s="16"/>
      <x:c r="F10" s="16" t="n">
        <x:v>85.20451694571693</x:v>
      </x:c>
      <x:c r="G10" s="3"/>
      <x:c r="H10" s="3" t="str">
        <x:v>Balances and net spreads must persist; Gold alone is too small to replace trading volatility.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</x:row>
    <x:row r="11">
      <x:c r="B11" s="3"/>
      <x:c r="C11" s="3"/>
      <x:c r="D11" s="16"/>
      <x:c r="E11" s="16"/>
      <x:c r="F11" s="16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</x:row>
    <x:row r="12">
      <x:c r="B12" s="3"/>
      <x:c r="C12" s="3"/>
      <x:c r="D12" s="16"/>
      <x:c r="E12" s="16"/>
      <x:c r="F12" s="16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</x:row>
    <x:row r="13" ht="24" customHeight="1">
      <x:c r="B13" s="6" t="str">
        <x:v>What must be true?</x:v>
      </x:c>
      <x:c r="C13" s="6"/>
      <x:c r="D13" s="21"/>
      <x:c r="E13" s="21"/>
      <x:c r="F13" s="21"/>
      <x:c r="G13" s="6"/>
      <x:c r="H13" s="6"/>
      <x:c r="I13" s="6"/>
      <x:c r="J13" s="6"/>
      <x:c r="K13" s="6"/>
      <x:c r="L13" s="6"/>
      <x:c r="M13" s="6"/>
      <x:c r="N13" s="3"/>
      <x:c r="O13" s="3"/>
      <x:c r="P13" s="3"/>
      <x:c r="Q13" s="3"/>
      <x:c r="R13" s="3"/>
      <x:c r="S13" s="3"/>
    </x:row>
    <x:row r="14">
      <x:c r="B14" s="3" t="str">
        <x:v>Options activity offsets 50bp policy decline</x:v>
      </x:c>
      <x:c r="C14" s="3"/>
      <x:c r="D14" s="16"/>
      <x:c r="E14" s="16"/>
      <x:c r="F14" s="16" t="n">
        <x:v>28.738480157817214</x:v>
      </x:c>
      <x:c r="G14" s="3"/>
      <x:c r="H14" s="3" t="str">
        <x:v>contracts per average funded customer per quarter</x:v>
      </x:c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</x:row>
    <x:row r="15">
      <x:c r="B15" s="3" t="str">
        <x:v>Customer additions offset 20% crypto activity decline</x:v>
      </x:c>
      <x:c r="C15" s="3"/>
      <x:c r="D15" s="16"/>
      <x:c r="E15" s="16"/>
      <x:c r="F15" s="16" t="str">
        <x:v>Not attainable</x:v>
      </x:c>
      <x:c r="G15" s="3"/>
      <x:c r="H15" s="3" t="str">
        <x:v>million net additions per quarter</x:v>
      </x:c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</x:row>
    <x:row r="16">
      <x:c r="B16" s="3" t="str">
        <x:v>Deposits offset 10% transaction monetization decline</x:v>
      </x:c>
      <x:c r="C16" s="3"/>
      <x:c r="D16" s="16"/>
      <x:c r="E16" s="16"/>
      <x:c r="F16" s="16" t="n">
        <x:v>69.86239943331796</x:v>
      </x:c>
      <x:c r="G16" s="3"/>
      <x:c r="H16" s="3" t="str">
        <x:v>USD billions net deposits per quarter</x:v>
      </x:c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</x:row>
    <x:row r="17">
      <x:c r="B17" s="3" t="str">
        <x:v>2027 expense eliminating operating-income growth</x:v>
      </x:c>
      <x:c r="C17" s="3"/>
      <x:c r="D17" s="16"/>
      <x:c r="E17" s="16"/>
      <x:c r="F17" s="16" t="n">
        <x:v>3644.4607380845</x:v>
      </x:c>
      <x:c r="G17" s="3"/>
      <x:c r="H17" s="3" t="str">
        <x:v>USD millions annual</x:v>
      </x:c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</x:row>
    <x:row r="18">
      <x:c r="B18" s="3" t="str">
        <x:v>2027 revenue preserving 2026 Base margin at planned costs</x:v>
      </x:c>
      <x:c r="C18" s="3"/>
      <x:c r="D18" s="16"/>
      <x:c r="E18" s="16"/>
      <x:c r="F18" s="16" t="n">
        <x:v>5792.666007640363</x:v>
      </x:c>
      <x:c r="G18" s="3"/>
      <x:c r="H18" s="3" t="str">
        <x:v>USD millions annual</x:v>
      </x:c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</x:row>
    <x:row r="19">
      <x:c r="B19" s="3"/>
      <x:c r="C19" s="3"/>
      <x:c r="D19" s="16"/>
      <x:c r="E19" s="16"/>
      <x:c r="F19" s="16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</x:row>
    <x:row r="20">
      <x:c r="B20" s="3"/>
      <x:c r="C20" s="3"/>
      <x:c r="D20" s="16"/>
      <x:c r="E20" s="16"/>
      <x:c r="F20" s="16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 ht="24" customHeight="1">
      <x:c r="B21" s="6" t="str">
        <x:v>Live selected-case thresholds</x:v>
      </x:c>
      <x:c r="C21" s="6"/>
      <x:c r="D21" s="21"/>
      <x:c r="E21" s="21"/>
      <x:c r="F21" s="21"/>
      <x:c r="G21" s="6"/>
      <x:c r="H21" s="6"/>
      <x:c r="I21" s="6"/>
      <x:c r="J21" s="6"/>
      <x:c r="K21" s="6"/>
      <x:c r="L21" s="6"/>
      <x:c r="M21" s="6"/>
      <x:c r="N21" s="3"/>
      <x:c r="O21" s="3"/>
      <x:c r="P21" s="3"/>
      <x:c r="Q21" s="3"/>
      <x:c r="R21" s="3"/>
      <x:c r="S21" s="3"/>
    </x:row>
    <x:row r="22">
      <x:c r="B22" s="3" t="str">
        <x:v>Options/customer to offset -50 bp policy rate</x:v>
      </x:c>
      <x:c r="C22" s="3"/>
      <x:c r="D22" s="16"/>
      <x:c r="E22" s="16"/>
      <x:c r="F22" s="16" t="n">
        <x:f>AVERAGE('Revenue Drivers'!J22:M22)+0.005*(SUMPRODUCT('Revenue Drivers'!J54:M54,'Assumptions'!J140:M140)+SUMPRODUCT('Revenue Drivers'!J55:M55,'Assumptions'!J44:M44))*1000/4/SUMPRODUCT('Revenue Drivers'!J13:M13,'Revenue Drivers'!J24:M24-'Expense Build'!J12:M12*'Assumptions'!J32:M32/'Sources'!C20)</x:f>
        <x:v>28.738480157817207</x:v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>
      <x:c r="B23" s="3" t="str">
        <x:v>2027 expense ceiling before profit growth stops</x:v>
      </x:c>
      <x:c r="C23" s="3"/>
      <x:c r="D23" s="16"/>
      <x:c r="E23" s="16"/>
      <x:c r="F23" s="16" t="n">
        <x:f>SUM(Forecast!J10:M10)-SUM('Historical Financials'!P18:Q18)-SUM(Forecast!H12:I12)</x:f>
        <x:v>3644.460738084501</x:v>
      </x:c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>
      <x:c r="B24" s="3" t="str">
        <x:v>2027 revenue required to hold 2026 margin</x:v>
      </x:c>
      <x:c r="C24" s="3"/>
      <x:c r="D24" s="16"/>
      <x:c r="E24" s="16"/>
      <x:c r="F24" s="16" t="n">
        <x:f>SUM(Forecast!J11:M11)/(1-(SUM('Historical Financials'!P18:Q18)+SUM(Forecast!H12:I12))/(SUM('Historical Financials'!P9:Q9)+SUM(Forecast!H10:I10)))</x:f>
        <x:v>5792.666007640363</x:v>
      </x:c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24" customHeight="1">
      <x:c r="B27" s="6" t="str">
        <x:v>Priorities</x:v>
      </x:c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3"/>
      <x:c r="O27" s="3"/>
      <x:c r="P27" s="3"/>
      <x:c r="Q27" s="3"/>
      <x:c r="R27" s="3"/>
      <x:c r="S27" s="3"/>
    </x:row>
    <x:row r="28">
      <x:c r="B28" s="3" t="str">
        <x:v>1. Protect trading engagement and realized monetization, especially options, while planning for activity swings.</x:v>
      </x:c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>
      <x:c r="B29" s="3" t="str">
        <x:v>2. Turn deposits into earning balances and deepen Gold relationships, with net spread and credit-loss discipline.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>
      <x:c r="B30" s="3" t="str">
        <x:v>3. Gate technology, marketing, and general spending against realized revenue and operating-profit conversion.</x:v>
      </x:c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 ht="24" customHeight="1">
      <x:c r="B32" s="6" t="str">
        <x:v>Major risks</x:v>
      </x:c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3"/>
      <x:c r="O32" s="3"/>
      <x:c r="P32" s="3"/>
      <x:c r="Q32" s="3"/>
      <x:c r="R32" s="3"/>
      <x:c r="S32" s="3"/>
    </x:row>
    <x:row r="33">
      <x:c r="B33" s="3" t="str">
        <x:v>1. Transaction activity and blended crypto monetization can normalize faster than the Base Case.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>
      <x:c r="B34" s="3" t="str">
        <x:v>2. Lower realized interest yields or faster credit and fixed-cost growth can erase operating leverage.</x:v>
      </x:c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 t="str">
        <x:v>Thresholds are conditional tests. Public data do not support initiative ROI or product margins.</x:v>
      </x:c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51" hidden="0" customWidth="1"/>
    <x:col min="3" max="3" width="17" hidden="0" customWidth="1"/>
    <x:col min="4" max="4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7" max="7" width="30" hidden="0" customWidth="1"/>
  </x:cols>
  <x:sheetData>
    <x:row r="2" ht="23" customHeight="1">
      <x:c r="B2" s="1" t="str">
        <x:v>Robinhood: growth needs engagement, balances, and cost conversion</x:v>
      </x:c>
    </x:row>
    <x:row r="3" ht="23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B4" s="3" t="str">
        <x:v>Case Selected:</x:v>
      </x:c>
      <x:c r="C4" s="15" t="str">
        <x:f>CHOOSE('Assumptions'!$D$4,"Base","Upside","Downside")</x:f>
        <x:v>Base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</x:row>
    <x:row r="6"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</x:row>
    <x:row r="7" ht="24" customHeight="1">
      <x:c r="B7" s="6" t="str">
        <x:v>2027 selected case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3"/>
      <x:c r="P7" s="3"/>
      <x:c r="Q7" s="3" t="str">
        <x:v>Quarter</x:v>
      </x:c>
      <x:c r="R7" s="3" t="str">
        <x:v>Revenue ($m)</x:v>
      </x:c>
      <x:c r="S7" s="3"/>
    </x:row>
    <x:row r="8"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 t="str">
        <x:v>2023Q1</x:v>
      </x:c>
      <x:c r="R8" s="3" t="n">
        <x:f>'Historical Financials'!D9</x:f>
        <x:v>441</x:v>
      </x:c>
      <x:c r="S8" s="3"/>
    </x:row>
    <x:row r="9" ht="24" customHeight="1">
      <x:c r="B9" s="3" t="str">
        <x:v>Revenue ($m)</x:v>
      </x:c>
      <x:c r="C9" s="3"/>
      <x:c r="D9" s="3"/>
      <x:c r="E9" s="16" t="n">
        <x:f>SUM(Forecast!J10:M10)</x:f>
        <x:v>5866.276645812966</x:v>
      </x:c>
      <x:c r="F9" s="3"/>
      <x:c r="G9" s="6" t="str">
        <x:v>2027 revenue mix</x:v>
      </x:c>
      <x:c r="H9" s="6"/>
      <x:c r="I9" s="6"/>
      <x:c r="J9" s="6"/>
      <x:c r="K9" s="6"/>
      <x:c r="L9" s="6"/>
      <x:c r="M9" s="6"/>
      <x:c r="N9" s="6"/>
      <x:c r="O9" s="3"/>
      <x:c r="P9" s="3"/>
      <x:c r="Q9" s="3" t="str">
        <x:v>2023Q2</x:v>
      </x:c>
      <x:c r="R9" s="3" t="n">
        <x:f>'Historical Financials'!E9</x:f>
        <x:v>486</x:v>
      </x:c>
      <x:c r="S9" s="3"/>
    </x:row>
    <x:row r="10">
      <x:c r="B10" s="3" t="str">
        <x:v>Revenue growth vs 2026</x:v>
      </x:c>
      <x:c r="C10" s="3"/>
      <x:c r="D10" s="3"/>
      <x:c r="E10" s="18" t="n">
        <x:f>E9/(SUM('Historical Financials'!P9:Q9)+SUM(Forecast!H10:I10))-1</x:f>
        <x:v>0.13001792699881642</x:v>
      </x:c>
      <x:c r="F10" s="3"/>
      <x:c r="G10" s="3" t="str">
        <x:v>Market activity</x:v>
      </x:c>
      <x:c r="H10" s="3"/>
      <x:c r="I10" s="3"/>
      <x:c r="J10" s="18" t="n">
        <x:f>SUM('Revenue Drivers'!J80:M80)/E9</x:f>
        <x:v>0.5227815140771216</x:v>
      </x:c>
      <x:c r="K10" s="3"/>
      <x:c r="L10" s="3"/>
      <x:c r="M10" s="3"/>
      <x:c r="N10" s="3"/>
      <x:c r="O10" s="3"/>
      <x:c r="P10" s="3"/>
      <x:c r="Q10" s="3" t="str">
        <x:v>2023Q3</x:v>
      </x:c>
      <x:c r="R10" s="3" t="n">
        <x:f>'Historical Financials'!F9</x:f>
        <x:v>467</x:v>
      </x:c>
      <x:c r="S10" s="3"/>
    </x:row>
    <x:row r="11">
      <x:c r="B11" s="3" t="str">
        <x:v>Funded customers (m)</x:v>
      </x:c>
      <x:c r="C11" s="3"/>
      <x:c r="D11" s="3"/>
      <x:c r="E11" s="16" t="n">
        <x:f>'Revenue Drivers'!M12</x:f>
        <x:v>30.200000000000006</x:v>
      </x:c>
      <x:c r="F11" s="3"/>
      <x:c r="G11" s="3" t="str">
        <x:v>Interest / balance</x:v>
      </x:c>
      <x:c r="H11" s="3"/>
      <x:c r="I11" s="3"/>
      <x:c r="J11" s="18" t="n">
        <x:f>SUM('Revenue Drivers'!J81:M81)/E9</x:f>
        <x:v>0.3629641837936377</x:v>
      </x:c>
      <x:c r="K11" s="3"/>
      <x:c r="L11" s="3"/>
      <x:c r="M11" s="3"/>
      <x:c r="N11" s="3"/>
      <x:c r="O11" s="3"/>
      <x:c r="P11" s="3"/>
      <x:c r="Q11" s="3" t="str">
        <x:v>2023Q4</x:v>
      </x:c>
      <x:c r="R11" s="3" t="n">
        <x:f>'Historical Financials'!G9</x:f>
        <x:v>471</x:v>
      </x:c>
      <x:c r="S11" s="3"/>
    </x:row>
    <x:row r="12">
      <x:c r="B12" s="3" t="str">
        <x:v>Platform assets ($b)</x:v>
      </x:c>
      <x:c r="C12" s="3"/>
      <x:c r="D12" s="3"/>
      <x:c r="E12" s="16" t="n">
        <x:f>'Revenue Drivers'!M20</x:f>
        <x:v>476.99999999999994</x:v>
      </x:c>
      <x:c r="F12" s="3"/>
      <x:c r="G12" s="3" t="str">
        <x:v>Disclosed Gold</x:v>
      </x:c>
      <x:c r="H12" s="3"/>
      <x:c r="I12" s="3"/>
      <x:c r="J12" s="18" t="n">
        <x:f>SUM('Revenue Drivers'!J82:M82)/E9</x:f>
        <x:v>0.04512023533604571</x:v>
      </x:c>
      <x:c r="K12" s="3"/>
      <x:c r="L12" s="3"/>
      <x:c r="M12" s="3"/>
      <x:c r="N12" s="3"/>
      <x:c r="O12" s="3"/>
      <x:c r="P12" s="3"/>
      <x:c r="Q12" s="3" t="str">
        <x:v>2024Q1</x:v>
      </x:c>
      <x:c r="R12" s="3" t="n">
        <x:f>'Historical Financials'!H9</x:f>
        <x:v>618</x:v>
      </x:c>
      <x:c r="S12" s="3"/>
    </x:row>
    <x:row r="13">
      <x:c r="B13" s="3" t="str">
        <x:v>Net deposits ($b)</x:v>
      </x:c>
      <x:c r="C13" s="3"/>
      <x:c r="D13" s="3"/>
      <x:c r="E13" s="16" t="n">
        <x:f>SUM('Revenue Drivers'!J16:M16)</x:f>
        <x:v>70.8</x:v>
      </x:c>
      <x:c r="F13" s="3"/>
      <x:c r="G13" s="3" t="str">
        <x:v>Unclassified</x:v>
      </x:c>
      <x:c r="H13" s="3"/>
      <x:c r="I13" s="3"/>
      <x:c r="J13" s="18" t="n">
        <x:f>SUM('Revenue Drivers'!J83:M83)/E9</x:f>
        <x:v>0.06913406679319478</x:v>
      </x:c>
      <x:c r="K13" s="3"/>
      <x:c r="L13" s="3"/>
      <x:c r="M13" s="3"/>
      <x:c r="N13" s="3"/>
      <x:c r="O13" s="3"/>
      <x:c r="P13" s="3"/>
      <x:c r="Q13" s="3" t="str">
        <x:v>2024Q2</x:v>
      </x:c>
      <x:c r="R13" s="3" t="n">
        <x:f>'Historical Financials'!I9</x:f>
        <x:v>682</x:v>
      </x:c>
      <x:c r="S13" s="3"/>
    </x:row>
    <x:row r="14">
      <x:c r="B14" s="3" t="str">
        <x:v>Derived ARPU ($)</x:v>
      </x:c>
      <x:c r="C14" s="3"/>
      <x:c r="D14" s="3"/>
      <x:c r="E14" s="16" t="n">
        <x:f>E9/AVERAGE('Revenue Drivers'!J13:M13)</x:f>
        <x:v>198.18502181800557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 t="str">
        <x:v>2024Q3</x:v>
      </x:c>
      <x:c r="R14" s="3" t="n">
        <x:f>'Historical Financials'!J9</x:f>
        <x:v>637</x:v>
      </x:c>
      <x:c r="S14" s="3"/>
    </x:row>
    <x:row r="15">
      <x:c r="B15" s="3" t="str">
        <x:v>Operating margin</x:v>
      </x:c>
      <x:c r="C15" s="3"/>
      <x:c r="D15" s="3"/>
      <x:c r="E15" s="18" t="n">
        <x:f>SUM(Forecast!J12:M12)/E9</x:f>
        <x:v>0.43516495751128875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 t="str">
        <x:v>2024Q4</x:v>
      </x:c>
      <x:c r="R15" s="3" t="n">
        <x:f>'Historical Financials'!K9</x:f>
        <x:v>1014</x:v>
      </x:c>
      <x:c r="S15" s="3"/>
    </x:row>
    <x:row r="16">
      <x:c r="B16" s="3" t="str">
        <x:v>Adjusted EBITDA margin</x:v>
      </x:c>
      <x:c r="C16" s="3"/>
      <x:c r="D16" s="3"/>
      <x:c r="E16" s="18" t="n">
        <x:f>SUM(Forecast!J21:M21)/E9</x:f>
        <x:v>0.5157953178843547</x:v>
      </x:c>
      <x:c r="F16" s="3"/>
      <x:c r="G16" s="3" t="str">
        <x:v>2027 downside / upside reference</x:v>
      </x:c>
      <x:c r="H16" s="3"/>
      <x:c r="I16" s="3"/>
      <x:c r="J16" s="3"/>
      <x:c r="K16" s="3"/>
      <x:c r="L16" s="3"/>
      <x:c r="M16" s="3"/>
      <x:c r="N16" s="3"/>
      <x:c r="O16" s="3"/>
      <x:c r="P16" s="3"/>
      <x:c r="Q16" s="3" t="str">
        <x:v>2025Q1</x:v>
      </x:c>
      <x:c r="R16" s="3" t="n">
        <x:f>'Historical Financials'!L9</x:f>
        <x:v>927</x:v>
      </x:c>
      <x:c r="S16" s="3"/>
    </x:row>
    <x:row r="17">
      <x:c r="B17" s="3"/>
      <x:c r="C17" s="3"/>
      <x:c r="D17" s="3"/>
      <x:c r="E17" s="3"/>
      <x:c r="F17" s="3"/>
      <x:c r="G17" s="3" t="str">
        <x:v>4,407 / 6,740 ($m)</x:v>
      </x:c>
      <x:c r="H17" s="3"/>
      <x:c r="I17" s="3"/>
      <x:c r="J17" s="3"/>
      <x:c r="K17" s="3"/>
      <x:c r="L17" s="3"/>
      <x:c r="M17" s="3"/>
      <x:c r="N17" s="3"/>
      <x:c r="O17" s="3"/>
      <x:c r="P17" s="3"/>
      <x:c r="Q17" s="3" t="str">
        <x:v>2025Q2</x:v>
      </x:c>
      <x:c r="R17" s="3" t="n">
        <x:f>'Historical Financials'!M9</x:f>
        <x:v>989</x:v>
      </x:c>
      <x:c r="S17" s="3"/>
    </x:row>
    <x:row r="18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 t="str">
        <x:v>2025Q3</x:v>
      </x:c>
      <x:c r="R18" s="3" t="n">
        <x:f>'Historical Financials'!N9</x:f>
        <x:v>1274</x:v>
      </x:c>
      <x:c r="S18" s="3"/>
    </x:row>
    <x:row r="19"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 t="str">
        <x:v>2025Q4</x:v>
      </x:c>
      <x:c r="R19" s="3" t="n">
        <x:f>'Historical Financials'!O9</x:f>
        <x:v>1283</x:v>
      </x:c>
      <x:c r="S19" s="3"/>
    </x:row>
    <x:row r="20" ht="24" customHeight="1">
      <x:c r="B20" s="6" t="str">
        <x:v>Financial exposures</x:v>
      </x:c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3"/>
      <x:c r="P20" s="3"/>
      <x:c r="Q20" s="3" t="str">
        <x:v>2026Q1</x:v>
      </x:c>
      <x:c r="R20" s="3" t="n">
        <x:f>'Historical Financials'!P9</x:f>
        <x:v>1067</x:v>
      </x:c>
      <x:c r="S20" s="3"/>
    </x:row>
    <x:row r="21">
      <x:c r="B21" s="3" t="str">
        <x:v>Transaction monetization -20%</x:v>
      </x:c>
      <x:c r="C21" s="3"/>
      <x:c r="D21" s="3"/>
      <x:c r="E21" s="20" t="n">
        <x:v>-613.3561973786718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 t="str">
        <x:v>2026Q2</x:v>
      </x:c>
      <x:c r="R21" s="3" t="n">
        <x:f>'Historical Financials'!Q9</x:f>
        <x:v>1308</x:v>
      </x:c>
      <x:c r="S21" s="3"/>
    </x:row>
    <x:row r="22">
      <x:c r="B22" s="3" t="str">
        <x:v>Policy rate -100 bp</x:v>
      </x:c>
      <x:c r="C22" s="3"/>
      <x:c r="D22" s="3"/>
      <x:c r="E22" s="20" t="n">
        <x:v>-264.6943876989153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 t="str">
        <x:v>2026Q3</x:v>
      </x:c>
      <x:c r="R22" s="3" t="n">
        <x:f>Forecast!H10</x:f>
        <x:v>1432.009750752502</x:v>
      </x:c>
      <x:c r="S22" s="3"/>
    </x:row>
    <x:row r="23">
      <x:c r="B23" s="3" t="str">
        <x:v>Options activity -20% (operating income)</x:v>
      </x:c>
      <x:c r="C23" s="3"/>
      <x:c r="D23" s="3"/>
      <x:c r="E23" s="20" t="n">
        <x:v>-264.4640335778631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 t="str">
        <x:v>2026Q4</x:v>
      </x:c>
      <x:c r="R23" s="3" t="n">
        <x:f>Forecast!I10</x:f>
        <x:v>1384.3031529224422</x:v>
      </x:c>
      <x:c r="S23" s="3"/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 t="str">
        <x:v>2027Q1</x:v>
      </x:c>
      <x:c r="R24" s="3" t="n">
        <x:f>Forecast!J10</x:f>
        <x:v>1412.0232787217878</x:v>
      </x:c>
      <x:c r="S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 t="str">
        <x:v>2027Q2</x:v>
      </x:c>
      <x:c r="R25" s="3" t="n">
        <x:f>Forecast!K10</x:f>
        <x:v>1476.3986411526844</x:v>
      </x:c>
      <x:c r="S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 t="str">
        <x:v>2027Q3</x:v>
      </x:c>
      <x:c r="R26" s="3" t="n">
        <x:f>Forecast!L10</x:f>
        <x:v>1471.7876564126898</x:v>
      </x:c>
      <x:c r="S26" s="3"/>
    </x:row>
    <x:row r="27" ht="24" customHeight="1">
      <x:c r="B27" s="6" t="str">
        <x:v>Three priorities</x:v>
      </x:c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3"/>
      <x:c r="P27" s="3"/>
      <x:c r="Q27" s="3" t="str">
        <x:v>2027Q4</x:v>
      </x:c>
      <x:c r="R27" s="3" t="n">
        <x:f>Forecast!M10</x:f>
        <x:v>1506.0670695258036</x:v>
      </x:c>
      <x:c r="S27" s="3"/>
    </x:row>
    <x:row r="28">
      <x:c r="B28" s="3" t="str">
        <x:v>1. Protect options activity and realized pricing</x:v>
      </x:c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 t="str">
        <x:v>2028Q1</x:v>
      </x:c>
      <x:c r="R28" s="3" t="n">
        <x:f>Forecast!N10</x:f>
        <x:v>1531.3325225720607</x:v>
      </x:c>
      <x:c r="S28" s="3"/>
    </x:row>
    <x:row r="29">
      <x:c r="B29" s="3" t="str">
        <x:v>2. Grow earning balances and Gold depth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 t="str">
        <x:v>2028Q2</x:v>
      </x:c>
      <x:c r="R29" s="3" t="n">
        <x:f>Forecast!O10</x:f>
        <x:v>1593.1071211647775</x:v>
      </x:c>
      <x:c r="S29" s="3"/>
    </x:row>
    <x:row r="30">
      <x:c r="B30" s="3" t="str">
        <x:v>3. Gate spending to revenue conversion</x:v>
      </x:c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 t="str">
        <x:v>2028Q3</x:v>
      </x:c>
      <x:c r="R30" s="3" t="n">
        <x:f>Forecast!P10</x:f>
        <x:v>1585.2291186332902</x:v>
      </x:c>
      <x:c r="S30" s="3"/>
    </x:row>
    <x:row r="3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 t="str">
        <x:v>2028Q4</x:v>
      </x:c>
      <x:c r="R31" s="3" t="n">
        <x:f>Forecast!Q10</x:f>
        <x:v>1615.5338704808119</x:v>
      </x:c>
      <x:c r="S31" s="3"/>
    </x:row>
    <x:row r="32" ht="24" customHeight="1">
      <x:c r="B32" s="6" t="str">
        <x:v>Two risks</x:v>
      </x:c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3"/>
      <x:c r="P32" s="3"/>
      <x:c r="Q32" s="3" t="str">
        <x:v>2029Q1</x:v>
      </x:c>
      <x:c r="R32" s="3" t="n">
        <x:f>Forecast!R10</x:f>
        <x:v>1635.9198678441355</x:v>
      </x:c>
      <x:c r="S32" s="3"/>
    </x:row>
    <x:row r="33">
      <x:c r="B33" s="3" t="str">
        <x:v>1. Trading and crypto demand normalize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 t="str">
        <x:v>2029Q2</x:v>
      </x:c>
      <x:c r="R33" s="3" t="n">
        <x:f>Forecast!S10</x:f>
        <x:v>1693.2244169682353</x:v>
      </x:c>
      <x:c r="S33" s="3"/>
    </x:row>
    <x:row r="34">
      <x:c r="B34" s="3" t="str">
        <x:v>2. Rate and credit costs weaken margin</x:v>
      </x:c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>
      <x:c r="B36" s="3" t="str">
        <x:v>2026 Q3 is forecast/nowcast. Reference shocks are frozen at build time.</x:v>
      </x:c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</x:row>
    <x:row r="58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</x:row>
    <x:row r="59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</x:row>
    <x:row r="60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</x:row>
    <x:row r="6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</x:row>
    <x:row r="62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</x:row>
    <x:row r="63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</x:row>
    <x:row r="64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</x:row>
    <x:row r="65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</x:row>
    <x:row r="66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</x:row>
    <x:row r="67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</x:row>
    <x:row r="68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</x:row>
    <x:row r="69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</x:row>
    <x:row r="70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</x:row>
    <x:row r="7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</x:row>
    <x:row r="72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</x:row>
    <x:row r="73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</x:row>
    <x:row r="74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</x:row>
    <x:row r="75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</x:row>
    <x:row r="76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</x:row>
    <x:row r="77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</x:row>
    <x:row r="78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</x:row>
    <x:row r="79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</x:row>
    <x:row r="80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</x:row>
  </x:sheetData>
  <x:pageMargins left="0.7" right="0.7" top="0.75" bottom="0.75" header="0.3" footer="0.3"/>
  <x:drawing xmlns:r="http://schemas.openxmlformats.org/officeDocument/2006/relationships" r:id="R0000000000000012"/>
</x:worksheet>
</file>